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katherinecalunod/Downloads/"/>
    </mc:Choice>
  </mc:AlternateContent>
  <xr:revisionPtr revIDLastSave="0" documentId="13_ncr:1_{842EA155-79A3-7640-A159-927EDC113EA9}" xr6:coauthVersionLast="47" xr6:coauthVersionMax="47" xr10:uidLastSave="{00000000-0000-0000-0000-000000000000}"/>
  <bookViews>
    <workbookView xWindow="0" yWindow="500" windowWidth="19420" windowHeight="11500" tabRatio="464" xr2:uid="{F6D399B6-DE63-43C0-A403-2239FCFDAD50}"/>
  </bookViews>
  <sheets>
    <sheet name="Cover Page" sheetId="3" r:id="rId1"/>
    <sheet name="1" sheetId="1" r:id="rId2"/>
    <sheet name="Masterlist" sheetId="59" state="hidden" r:id="rId3"/>
    <sheet name="Sheet2" sheetId="2" state="hidden" r:id="rId4"/>
  </sheets>
  <definedNames>
    <definedName name="CourseType">Sheet2!$F$3:$F$8</definedName>
    <definedName name="ExternalData_1" localSheetId="2" hidden="1">Masterlist!$A$1:$CY$27002</definedName>
    <definedName name="GradeTable1">Sheet2!$B$21:$C$29</definedName>
    <definedName name="PRAC_GradeTable">Sheet2!$B$13:$C$20</definedName>
    <definedName name="Term">Sheet2!$H$3:$H$5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" i="1" l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K7" i="1"/>
  <c r="BK8" i="1"/>
  <c r="BK9" i="1"/>
  <c r="BK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N7" i="1"/>
  <c r="BN8" i="1"/>
  <c r="BN9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R7" i="1"/>
  <c r="BR8" i="1"/>
  <c r="BR9" i="1"/>
  <c r="BR10" i="1"/>
  <c r="BR11" i="1"/>
  <c r="BR12" i="1"/>
  <c r="BR13" i="1"/>
  <c r="BR14" i="1"/>
  <c r="BR15" i="1"/>
  <c r="BR16" i="1"/>
  <c r="BR17" i="1"/>
  <c r="BR18" i="1"/>
  <c r="BR19" i="1"/>
  <c r="BR20" i="1"/>
  <c r="BR21" i="1"/>
  <c r="BR22" i="1"/>
  <c r="BR23" i="1"/>
  <c r="BR24" i="1"/>
  <c r="BR25" i="1"/>
  <c r="BR26" i="1"/>
  <c r="BR27" i="1"/>
  <c r="BR28" i="1"/>
  <c r="BR29" i="1"/>
  <c r="BR30" i="1"/>
  <c r="BR31" i="1"/>
  <c r="BR32" i="1"/>
  <c r="BR33" i="1"/>
  <c r="BR34" i="1"/>
  <c r="BR35" i="1"/>
  <c r="BR36" i="1"/>
  <c r="BR37" i="1"/>
  <c r="BR38" i="1"/>
  <c r="BR39" i="1"/>
  <c r="BR40" i="1"/>
  <c r="BR41" i="1"/>
  <c r="BR42" i="1"/>
  <c r="BR43" i="1"/>
  <c r="BR44" i="1"/>
  <c r="BR45" i="1"/>
  <c r="BR46" i="1"/>
  <c r="BR47" i="1"/>
  <c r="BR48" i="1"/>
  <c r="BR49" i="1"/>
  <c r="BR50" i="1"/>
  <c r="BR51" i="1"/>
  <c r="BR52" i="1"/>
  <c r="BR53" i="1"/>
  <c r="BR54" i="1"/>
  <c r="BR55" i="1"/>
  <c r="BR5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32" i="1"/>
  <c r="BV33" i="1"/>
  <c r="BV34" i="1"/>
  <c r="BV35" i="1"/>
  <c r="BV36" i="1"/>
  <c r="BV37" i="1"/>
  <c r="BV38" i="1"/>
  <c r="BV39" i="1"/>
  <c r="BV40" i="1"/>
  <c r="BV41" i="1"/>
  <c r="BV42" i="1"/>
  <c r="BV43" i="1"/>
  <c r="BV44" i="1"/>
  <c r="BV45" i="1"/>
  <c r="BV46" i="1"/>
  <c r="BV47" i="1"/>
  <c r="BV48" i="1"/>
  <c r="BV49" i="1"/>
  <c r="BV50" i="1"/>
  <c r="BV51" i="1"/>
  <c r="BV52" i="1"/>
  <c r="BV53" i="1"/>
  <c r="BV54" i="1"/>
  <c r="BV55" i="1"/>
  <c r="BV5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19" i="1"/>
  <c r="BX20" i="1"/>
  <c r="BX21" i="1"/>
  <c r="BX22" i="1"/>
  <c r="BX23" i="1"/>
  <c r="BX24" i="1"/>
  <c r="BX25" i="1"/>
  <c r="BX26" i="1"/>
  <c r="BX27" i="1"/>
  <c r="BX28" i="1"/>
  <c r="BX29" i="1"/>
  <c r="BX30" i="1"/>
  <c r="BX31" i="1"/>
  <c r="BX32" i="1"/>
  <c r="BX33" i="1"/>
  <c r="BX34" i="1"/>
  <c r="BX35" i="1"/>
  <c r="BX36" i="1"/>
  <c r="BX37" i="1"/>
  <c r="BX38" i="1"/>
  <c r="BX39" i="1"/>
  <c r="BX40" i="1"/>
  <c r="BX41" i="1"/>
  <c r="BX42" i="1"/>
  <c r="BX43" i="1"/>
  <c r="BX44" i="1"/>
  <c r="BX45" i="1"/>
  <c r="BX46" i="1"/>
  <c r="BX47" i="1"/>
  <c r="BX48" i="1"/>
  <c r="BX49" i="1"/>
  <c r="BX50" i="1"/>
  <c r="BX51" i="1"/>
  <c r="BX52" i="1"/>
  <c r="BX53" i="1"/>
  <c r="BX54" i="1"/>
  <c r="BX55" i="1"/>
  <c r="BX56" i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7" i="1"/>
  <c r="BY38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Y53" i="1"/>
  <c r="BY54" i="1"/>
  <c r="BY55" i="1"/>
  <c r="BY56" i="1"/>
  <c r="BZ7" i="1"/>
  <c r="BZ8" i="1"/>
  <c r="BZ9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Z41" i="1"/>
  <c r="BZ42" i="1"/>
  <c r="BZ43" i="1"/>
  <c r="BZ44" i="1"/>
  <c r="BZ45" i="1"/>
  <c r="BZ46" i="1"/>
  <c r="BZ47" i="1"/>
  <c r="BZ48" i="1"/>
  <c r="BZ49" i="1"/>
  <c r="BZ50" i="1"/>
  <c r="BZ51" i="1"/>
  <c r="BZ52" i="1"/>
  <c r="BZ53" i="1"/>
  <c r="BZ54" i="1"/>
  <c r="BZ55" i="1"/>
  <c r="BZ56" i="1"/>
  <c r="CB7" i="1"/>
  <c r="CB8" i="1"/>
  <c r="CB9" i="1"/>
  <c r="CB10" i="1"/>
  <c r="CB11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3" i="1"/>
  <c r="CB54" i="1"/>
  <c r="CB55" i="1"/>
  <c r="CB56" i="1"/>
  <c r="CC7" i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E7" i="1"/>
  <c r="CE8" i="1"/>
  <c r="CE9" i="1"/>
  <c r="CE10" i="1"/>
  <c r="CE11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3" i="1"/>
  <c r="CE54" i="1"/>
  <c r="CE55" i="1"/>
  <c r="CE56" i="1"/>
  <c r="CF7" i="1"/>
  <c r="CF8" i="1"/>
  <c r="CF9" i="1"/>
  <c r="CF10" i="1"/>
  <c r="CF11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3" i="1"/>
  <c r="CF54" i="1"/>
  <c r="CF55" i="1"/>
  <c r="CF56" i="1"/>
  <c r="CG7" i="1"/>
  <c r="CG8" i="1"/>
  <c r="CG9" i="1"/>
  <c r="CG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H7" i="1"/>
  <c r="CH8" i="1"/>
  <c r="CH9" i="1"/>
  <c r="CH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I7" i="1"/>
  <c r="CI8" i="1"/>
  <c r="CI9" i="1"/>
  <c r="CI10" i="1"/>
  <c r="CI11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3" i="1"/>
  <c r="CI54" i="1"/>
  <c r="CI55" i="1"/>
  <c r="CI56" i="1"/>
  <c r="CJ7" i="1"/>
  <c r="CJ8" i="1"/>
  <c r="CJ9" i="1"/>
  <c r="CJ10" i="1"/>
  <c r="CJ11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3" i="1"/>
  <c r="CJ54" i="1"/>
  <c r="CJ55" i="1"/>
  <c r="CJ5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N7" i="1"/>
  <c r="CN8" i="1"/>
  <c r="CN9" i="1"/>
  <c r="CN10" i="1"/>
  <c r="CN11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3" i="1"/>
  <c r="CN54" i="1"/>
  <c r="CN55" i="1"/>
  <c r="CN56" i="1"/>
  <c r="CO7" i="1"/>
  <c r="CO8" i="1"/>
  <c r="CO9" i="1"/>
  <c r="CO10" i="1"/>
  <c r="CO11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3" i="1"/>
  <c r="CO54" i="1"/>
  <c r="CO55" i="1"/>
  <c r="CO5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T7" i="1"/>
  <c r="CT8" i="1"/>
  <c r="CT9" i="1"/>
  <c r="CT10" i="1"/>
  <c r="CT11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3" i="1"/>
  <c r="CT54" i="1"/>
  <c r="CT55" i="1"/>
  <c r="CT5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3" i="1"/>
  <c r="CU54" i="1"/>
  <c r="CU55" i="1"/>
  <c r="CU5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Y7" i="1"/>
  <c r="CY8" i="1"/>
  <c r="CY9" i="1"/>
  <c r="CY10" i="1"/>
  <c r="CY11" i="1"/>
  <c r="CY12" i="1"/>
  <c r="CY13" i="1"/>
  <c r="CY14" i="1"/>
  <c r="CY15" i="1"/>
  <c r="CY16" i="1"/>
  <c r="CY17" i="1"/>
  <c r="CY18" i="1"/>
  <c r="CY19" i="1"/>
  <c r="CY20" i="1"/>
  <c r="CY21" i="1"/>
  <c r="CY22" i="1"/>
  <c r="CY23" i="1"/>
  <c r="CY24" i="1"/>
  <c r="CY25" i="1"/>
  <c r="CY26" i="1"/>
  <c r="CY27" i="1"/>
  <c r="CY28" i="1"/>
  <c r="CY29" i="1"/>
  <c r="CY30" i="1"/>
  <c r="CY31" i="1"/>
  <c r="CY32" i="1"/>
  <c r="CY33" i="1"/>
  <c r="CY34" i="1"/>
  <c r="CY35" i="1"/>
  <c r="CY36" i="1"/>
  <c r="CY37" i="1"/>
  <c r="CY38" i="1"/>
  <c r="CY39" i="1"/>
  <c r="CY40" i="1"/>
  <c r="CY41" i="1"/>
  <c r="CY42" i="1"/>
  <c r="CY43" i="1"/>
  <c r="CY44" i="1"/>
  <c r="CY45" i="1"/>
  <c r="CY46" i="1"/>
  <c r="CY47" i="1"/>
  <c r="CY48" i="1"/>
  <c r="CY49" i="1"/>
  <c r="CY50" i="1"/>
  <c r="CY51" i="1"/>
  <c r="CY52" i="1"/>
  <c r="CY53" i="1"/>
  <c r="CY54" i="1"/>
  <c r="CY55" i="1"/>
  <c r="CY56" i="1"/>
  <c r="CZ7" i="1"/>
  <c r="CZ8" i="1"/>
  <c r="CZ9" i="1"/>
  <c r="CZ10" i="1"/>
  <c r="CZ11" i="1"/>
  <c r="CZ12" i="1"/>
  <c r="CZ13" i="1"/>
  <c r="CZ14" i="1"/>
  <c r="CZ15" i="1"/>
  <c r="CZ16" i="1"/>
  <c r="CZ17" i="1"/>
  <c r="CZ18" i="1"/>
  <c r="CZ19" i="1"/>
  <c r="CZ20" i="1"/>
  <c r="CZ21" i="1"/>
  <c r="CZ22" i="1"/>
  <c r="CZ23" i="1"/>
  <c r="CZ24" i="1"/>
  <c r="CZ25" i="1"/>
  <c r="CZ26" i="1"/>
  <c r="CZ27" i="1"/>
  <c r="CZ28" i="1"/>
  <c r="CZ29" i="1"/>
  <c r="CZ30" i="1"/>
  <c r="CZ31" i="1"/>
  <c r="CZ32" i="1"/>
  <c r="CZ33" i="1"/>
  <c r="CZ34" i="1"/>
  <c r="CZ35" i="1"/>
  <c r="CZ36" i="1"/>
  <c r="CZ37" i="1"/>
  <c r="CZ38" i="1"/>
  <c r="CZ39" i="1"/>
  <c r="CZ40" i="1"/>
  <c r="CZ41" i="1"/>
  <c r="CZ42" i="1"/>
  <c r="CZ43" i="1"/>
  <c r="CZ44" i="1"/>
  <c r="CZ45" i="1"/>
  <c r="CZ46" i="1"/>
  <c r="CZ47" i="1"/>
  <c r="CZ48" i="1"/>
  <c r="CZ49" i="1"/>
  <c r="CZ50" i="1"/>
  <c r="CZ51" i="1"/>
  <c r="CZ52" i="1"/>
  <c r="CZ53" i="1"/>
  <c r="CZ54" i="1"/>
  <c r="CZ55" i="1"/>
  <c r="CZ56" i="1"/>
  <c r="DA7" i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B7" i="1"/>
  <c r="DB8" i="1"/>
  <c r="DB9" i="1"/>
  <c r="DB10" i="1"/>
  <c r="DB11" i="1"/>
  <c r="DB12" i="1"/>
  <c r="DB13" i="1"/>
  <c r="DB14" i="1"/>
  <c r="DB15" i="1"/>
  <c r="DB16" i="1"/>
  <c r="DB17" i="1"/>
  <c r="DB18" i="1"/>
  <c r="DB19" i="1"/>
  <c r="DB20" i="1"/>
  <c r="DB21" i="1"/>
  <c r="DB22" i="1"/>
  <c r="DB23" i="1"/>
  <c r="DB24" i="1"/>
  <c r="DB25" i="1"/>
  <c r="DB26" i="1"/>
  <c r="DB27" i="1"/>
  <c r="DB28" i="1"/>
  <c r="DB29" i="1"/>
  <c r="DB30" i="1"/>
  <c r="DB31" i="1"/>
  <c r="DB32" i="1"/>
  <c r="DB33" i="1"/>
  <c r="DB34" i="1"/>
  <c r="DB35" i="1"/>
  <c r="DB36" i="1"/>
  <c r="DB37" i="1"/>
  <c r="DB38" i="1"/>
  <c r="DB39" i="1"/>
  <c r="DB40" i="1"/>
  <c r="DB41" i="1"/>
  <c r="DB42" i="1"/>
  <c r="DB43" i="1"/>
  <c r="DB44" i="1"/>
  <c r="DB45" i="1"/>
  <c r="DB46" i="1"/>
  <c r="DB47" i="1"/>
  <c r="DB48" i="1"/>
  <c r="DB49" i="1"/>
  <c r="DB50" i="1"/>
  <c r="DB51" i="1"/>
  <c r="DB52" i="1"/>
  <c r="DB53" i="1"/>
  <c r="DB54" i="1"/>
  <c r="DB55" i="1"/>
  <c r="DB56" i="1"/>
  <c r="DC7" i="1"/>
  <c r="DC8" i="1"/>
  <c r="DC9" i="1"/>
  <c r="DC10" i="1"/>
  <c r="DC11" i="1"/>
  <c r="DC12" i="1"/>
  <c r="DC13" i="1"/>
  <c r="DC14" i="1"/>
  <c r="DC15" i="1"/>
  <c r="DC16" i="1"/>
  <c r="DC17" i="1"/>
  <c r="DC18" i="1"/>
  <c r="DC19" i="1"/>
  <c r="DC20" i="1"/>
  <c r="DC21" i="1"/>
  <c r="DC22" i="1"/>
  <c r="DC23" i="1"/>
  <c r="DC24" i="1"/>
  <c r="DC25" i="1"/>
  <c r="DC26" i="1"/>
  <c r="DC27" i="1"/>
  <c r="DC28" i="1"/>
  <c r="DC29" i="1"/>
  <c r="DC30" i="1"/>
  <c r="DC31" i="1"/>
  <c r="DC32" i="1"/>
  <c r="DC33" i="1"/>
  <c r="DC34" i="1"/>
  <c r="DC35" i="1"/>
  <c r="N35" i="1" s="1"/>
  <c r="O35" i="1" s="1"/>
  <c r="DC36" i="1"/>
  <c r="DC37" i="1"/>
  <c r="N37" i="1" s="1"/>
  <c r="O37" i="1" s="1"/>
  <c r="DC38" i="1"/>
  <c r="DC39" i="1"/>
  <c r="DC40" i="1"/>
  <c r="DC41" i="1"/>
  <c r="DC42" i="1"/>
  <c r="DC43" i="1"/>
  <c r="DC44" i="1"/>
  <c r="DC45" i="1"/>
  <c r="DC46" i="1"/>
  <c r="N46" i="1" s="1"/>
  <c r="O46" i="1" s="1"/>
  <c r="DC47" i="1"/>
  <c r="DC48" i="1"/>
  <c r="DC49" i="1"/>
  <c r="DC50" i="1"/>
  <c r="DC51" i="1"/>
  <c r="DC52" i="1"/>
  <c r="DC53" i="1"/>
  <c r="DC54" i="1"/>
  <c r="DC55" i="1"/>
  <c r="DC56" i="1"/>
  <c r="DF7" i="1"/>
  <c r="DF8" i="1"/>
  <c r="DF9" i="1"/>
  <c r="DF10" i="1"/>
  <c r="DF11" i="1"/>
  <c r="DF12" i="1"/>
  <c r="DF13" i="1"/>
  <c r="DF14" i="1"/>
  <c r="DF15" i="1"/>
  <c r="DF16" i="1"/>
  <c r="DF17" i="1"/>
  <c r="DF18" i="1"/>
  <c r="DF19" i="1"/>
  <c r="DF20" i="1"/>
  <c r="DF21" i="1"/>
  <c r="DF22" i="1"/>
  <c r="DF23" i="1"/>
  <c r="DF24" i="1"/>
  <c r="DF25" i="1"/>
  <c r="DF26" i="1"/>
  <c r="DF27" i="1"/>
  <c r="DF28" i="1"/>
  <c r="DF29" i="1"/>
  <c r="DF30" i="1"/>
  <c r="DF31" i="1"/>
  <c r="DF32" i="1"/>
  <c r="DF33" i="1"/>
  <c r="DF34" i="1"/>
  <c r="DF35" i="1"/>
  <c r="DF36" i="1"/>
  <c r="DF37" i="1"/>
  <c r="DF38" i="1"/>
  <c r="DF39" i="1"/>
  <c r="DF40" i="1"/>
  <c r="DF41" i="1"/>
  <c r="DF42" i="1"/>
  <c r="DF43" i="1"/>
  <c r="DF44" i="1"/>
  <c r="DF45" i="1"/>
  <c r="DF46" i="1"/>
  <c r="DF47" i="1"/>
  <c r="DF48" i="1"/>
  <c r="DF49" i="1"/>
  <c r="DF50" i="1"/>
  <c r="DF51" i="1"/>
  <c r="DF52" i="1"/>
  <c r="DF53" i="1"/>
  <c r="DF54" i="1"/>
  <c r="DF55" i="1"/>
  <c r="DF56" i="1"/>
  <c r="AZ7" i="1"/>
  <c r="AZ8" i="1"/>
  <c r="N8" i="1" s="1"/>
  <c r="O8" i="1" s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N21" i="1" s="1"/>
  <c r="O21" i="1" s="1"/>
  <c r="AZ22" i="1"/>
  <c r="AZ23" i="1"/>
  <c r="AZ24" i="1"/>
  <c r="AZ25" i="1"/>
  <c r="AZ26" i="1"/>
  <c r="AZ27" i="1"/>
  <c r="AZ28" i="1"/>
  <c r="AZ29" i="1"/>
  <c r="AZ30" i="1"/>
  <c r="AZ31" i="1"/>
  <c r="AZ32" i="1"/>
  <c r="AZ33" i="1"/>
  <c r="N33" i="1" s="1"/>
  <c r="O33" i="1" s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Y7" i="1"/>
  <c r="N7" i="1" s="1"/>
  <c r="O7" i="1" s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N30" i="1" s="1"/>
  <c r="O30" i="1" s="1"/>
  <c r="AY31" i="1"/>
  <c r="N31" i="1" s="1"/>
  <c r="O31" i="1" s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N51" i="1" s="1"/>
  <c r="O51" i="1" s="1"/>
  <c r="AY52" i="1"/>
  <c r="N52" i="1" s="1"/>
  <c r="O52" i="1" s="1"/>
  <c r="AY53" i="1"/>
  <c r="AY54" i="1"/>
  <c r="AY55" i="1"/>
  <c r="N55" i="1" s="1"/>
  <c r="O55" i="1" s="1"/>
  <c r="AY56" i="1"/>
  <c r="B32" i="1"/>
  <c r="B28" i="1"/>
  <c r="B12" i="1"/>
  <c r="B8" i="1"/>
  <c r="D8" i="1"/>
  <c r="D10" i="1"/>
  <c r="D12" i="1"/>
  <c r="B10" i="1"/>
  <c r="D5" i="1"/>
  <c r="B5" i="1"/>
  <c r="AS14" i="1"/>
  <c r="AS22" i="1"/>
  <c r="AS30" i="1"/>
  <c r="AS38" i="1"/>
  <c r="AS46" i="1"/>
  <c r="AS54" i="1"/>
  <c r="AS35" i="1"/>
  <c r="AS9" i="1"/>
  <c r="AS17" i="1"/>
  <c r="AS25" i="1"/>
  <c r="AS33" i="1"/>
  <c r="AS41" i="1"/>
  <c r="AS49" i="1"/>
  <c r="AS43" i="1"/>
  <c r="AS12" i="1"/>
  <c r="AS20" i="1"/>
  <c r="AS28" i="1"/>
  <c r="AS36" i="1"/>
  <c r="AS44" i="1"/>
  <c r="AS52" i="1"/>
  <c r="AS11" i="1"/>
  <c r="AS27" i="1"/>
  <c r="AS7" i="1"/>
  <c r="AS15" i="1"/>
  <c r="AS23" i="1"/>
  <c r="AS31" i="1"/>
  <c r="AS39" i="1"/>
  <c r="AS47" i="1"/>
  <c r="AS55" i="1"/>
  <c r="AS10" i="1"/>
  <c r="AS18" i="1"/>
  <c r="AS26" i="1"/>
  <c r="AS34" i="1"/>
  <c r="AS42" i="1"/>
  <c r="AS50" i="1"/>
  <c r="AS51" i="1"/>
  <c r="AS13" i="1"/>
  <c r="AS21" i="1"/>
  <c r="AS29" i="1"/>
  <c r="AS37" i="1"/>
  <c r="AS45" i="1"/>
  <c r="AS53" i="1"/>
  <c r="AS19" i="1"/>
  <c r="AS8" i="1"/>
  <c r="AS16" i="1"/>
  <c r="AS24" i="1"/>
  <c r="AS32" i="1"/>
  <c r="AS40" i="1"/>
  <c r="AS48" i="1"/>
  <c r="AS56" i="1"/>
  <c r="B21" i="1"/>
  <c r="AQ3" i="1"/>
  <c r="E21" i="1"/>
  <c r="D21" i="1"/>
  <c r="E28" i="1"/>
  <c r="E29" i="1"/>
  <c r="AP3" i="1"/>
  <c r="DD13" i="1"/>
  <c r="DD21" i="1"/>
  <c r="DD29" i="1"/>
  <c r="DD37" i="1"/>
  <c r="DD45" i="1"/>
  <c r="DD53" i="1"/>
  <c r="DD15" i="1"/>
  <c r="DD55" i="1"/>
  <c r="DD25" i="1"/>
  <c r="DD41" i="1"/>
  <c r="DD36" i="1"/>
  <c r="DD14" i="1"/>
  <c r="DD22" i="1"/>
  <c r="DD30" i="1"/>
  <c r="DD38" i="1"/>
  <c r="DD46" i="1"/>
  <c r="DD54" i="1"/>
  <c r="DD47" i="1"/>
  <c r="DD9" i="1"/>
  <c r="DD20" i="1"/>
  <c r="DD7" i="1"/>
  <c r="DD23" i="1"/>
  <c r="DD31" i="1"/>
  <c r="DD39" i="1"/>
  <c r="DD33" i="1"/>
  <c r="DD28" i="1"/>
  <c r="DD8" i="1"/>
  <c r="DD16" i="1"/>
  <c r="DD24" i="1"/>
  <c r="DD32" i="1"/>
  <c r="DD40" i="1"/>
  <c r="DD48" i="1"/>
  <c r="DD56" i="1"/>
  <c r="DD17" i="1"/>
  <c r="DD49" i="1"/>
  <c r="DD52" i="1"/>
  <c r="DD10" i="1"/>
  <c r="DD18" i="1"/>
  <c r="DD26" i="1"/>
  <c r="DD34" i="1"/>
  <c r="DD42" i="1"/>
  <c r="DD50" i="1"/>
  <c r="DD44" i="1"/>
  <c r="DD11" i="1"/>
  <c r="DD19" i="1"/>
  <c r="DD27" i="1"/>
  <c r="DD35" i="1"/>
  <c r="DD43" i="1"/>
  <c r="DD51" i="1"/>
  <c r="DD12" i="1"/>
  <c r="DE11" i="1"/>
  <c r="DE19" i="1"/>
  <c r="DE27" i="1"/>
  <c r="DE35" i="1"/>
  <c r="DE43" i="1"/>
  <c r="DE51" i="1"/>
  <c r="DE13" i="1"/>
  <c r="DE21" i="1"/>
  <c r="DE29" i="1"/>
  <c r="DE37" i="1"/>
  <c r="DE45" i="1"/>
  <c r="DE15" i="1"/>
  <c r="DE31" i="1"/>
  <c r="DE55" i="1"/>
  <c r="DE10" i="1"/>
  <c r="DE34" i="1"/>
  <c r="DE50" i="1"/>
  <c r="DE12" i="1"/>
  <c r="DE20" i="1"/>
  <c r="DE28" i="1"/>
  <c r="DE36" i="1"/>
  <c r="DE44" i="1"/>
  <c r="DE52" i="1"/>
  <c r="DE53" i="1"/>
  <c r="DE7" i="1"/>
  <c r="DE47" i="1"/>
  <c r="DE42" i="1"/>
  <c r="DE23" i="1"/>
  <c r="DE26" i="1"/>
  <c r="DE14" i="1"/>
  <c r="DE22" i="1"/>
  <c r="DE30" i="1"/>
  <c r="DE38" i="1"/>
  <c r="DE46" i="1"/>
  <c r="DE54" i="1"/>
  <c r="DE39" i="1"/>
  <c r="DE8" i="1"/>
  <c r="DE16" i="1"/>
  <c r="DE24" i="1"/>
  <c r="DE32" i="1"/>
  <c r="DE40" i="1"/>
  <c r="DE48" i="1"/>
  <c r="DE56" i="1"/>
  <c r="DE9" i="1"/>
  <c r="DE17" i="1"/>
  <c r="DE25" i="1"/>
  <c r="DE33" i="1"/>
  <c r="DE41" i="1"/>
  <c r="DE49" i="1"/>
  <c r="DE18" i="1"/>
  <c r="AW13" i="1"/>
  <c r="AW21" i="1"/>
  <c r="AW29" i="1"/>
  <c r="AW37" i="1"/>
  <c r="AW45" i="1"/>
  <c r="AW53" i="1"/>
  <c r="AW20" i="1"/>
  <c r="AW14" i="1"/>
  <c r="AW22" i="1"/>
  <c r="AW30" i="1"/>
  <c r="AW38" i="1"/>
  <c r="AW46" i="1"/>
  <c r="AW54" i="1"/>
  <c r="AW36" i="1"/>
  <c r="AW7" i="1"/>
  <c r="AW15" i="1"/>
  <c r="AW23" i="1"/>
  <c r="AW31" i="1"/>
  <c r="AW39" i="1"/>
  <c r="AW47" i="1"/>
  <c r="AW55" i="1"/>
  <c r="AW28" i="1"/>
  <c r="AW8" i="1"/>
  <c r="AW16" i="1"/>
  <c r="AW24" i="1"/>
  <c r="AW32" i="1"/>
  <c r="AW40" i="1"/>
  <c r="AW48" i="1"/>
  <c r="AW56" i="1"/>
  <c r="AW52" i="1"/>
  <c r="AW9" i="1"/>
  <c r="AW17" i="1"/>
  <c r="AW25" i="1"/>
  <c r="AW33" i="1"/>
  <c r="AW41" i="1"/>
  <c r="AW49" i="1"/>
  <c r="AW10" i="1"/>
  <c r="AW18" i="1"/>
  <c r="AW26" i="1"/>
  <c r="AW34" i="1"/>
  <c r="AW42" i="1"/>
  <c r="AW50" i="1"/>
  <c r="AW12" i="1"/>
  <c r="AW11" i="1"/>
  <c r="AW19" i="1"/>
  <c r="AW27" i="1"/>
  <c r="AW35" i="1"/>
  <c r="AW43" i="1"/>
  <c r="AW51" i="1"/>
  <c r="AW44" i="1"/>
  <c r="BB7" i="1"/>
  <c r="BB15" i="1"/>
  <c r="BB23" i="1"/>
  <c r="BB31" i="1"/>
  <c r="BB39" i="1"/>
  <c r="BB47" i="1"/>
  <c r="BB55" i="1"/>
  <c r="BB8" i="1"/>
  <c r="BB16" i="1"/>
  <c r="BB24" i="1"/>
  <c r="BB32" i="1"/>
  <c r="BB40" i="1"/>
  <c r="BB48" i="1"/>
  <c r="BB56" i="1"/>
  <c r="BB54" i="1"/>
  <c r="BB9" i="1"/>
  <c r="BB17" i="1"/>
  <c r="BB25" i="1"/>
  <c r="BB33" i="1"/>
  <c r="BB41" i="1"/>
  <c r="BB49" i="1"/>
  <c r="BB46" i="1"/>
  <c r="BB10" i="1"/>
  <c r="BB18" i="1"/>
  <c r="BB26" i="1"/>
  <c r="BB34" i="1"/>
  <c r="BB42" i="1"/>
  <c r="BB50" i="1"/>
  <c r="BB22" i="1"/>
  <c r="BB11" i="1"/>
  <c r="BB19" i="1"/>
  <c r="BB27" i="1"/>
  <c r="BB35" i="1"/>
  <c r="BB43" i="1"/>
  <c r="BB51" i="1"/>
  <c r="BB38" i="1"/>
  <c r="BB12" i="1"/>
  <c r="BB20" i="1"/>
  <c r="BB28" i="1"/>
  <c r="BB36" i="1"/>
  <c r="BB44" i="1"/>
  <c r="BB52" i="1"/>
  <c r="BB30" i="1"/>
  <c r="BB13" i="1"/>
  <c r="BB21" i="1"/>
  <c r="BB29" i="1"/>
  <c r="BB37" i="1"/>
  <c r="BB45" i="1"/>
  <c r="BB53" i="1"/>
  <c r="BB14" i="1"/>
  <c r="BA13" i="1"/>
  <c r="BA21" i="1"/>
  <c r="BA29" i="1"/>
  <c r="BA37" i="1"/>
  <c r="BA45" i="1"/>
  <c r="BA53" i="1"/>
  <c r="BA12" i="1"/>
  <c r="BA14" i="1"/>
  <c r="N14" i="1" s="1"/>
  <c r="O14" i="1" s="1"/>
  <c r="BA22" i="1"/>
  <c r="BA30" i="1"/>
  <c r="BA38" i="1"/>
  <c r="BA46" i="1"/>
  <c r="BA54" i="1"/>
  <c r="BA28" i="1"/>
  <c r="BA44" i="1"/>
  <c r="BA7" i="1"/>
  <c r="BA15" i="1"/>
  <c r="BA23" i="1"/>
  <c r="BA31" i="1"/>
  <c r="BA39" i="1"/>
  <c r="BA47" i="1"/>
  <c r="BA55" i="1"/>
  <c r="BA20" i="1"/>
  <c r="BA36" i="1"/>
  <c r="BA52" i="1"/>
  <c r="BA8" i="1"/>
  <c r="BA16" i="1"/>
  <c r="BA24" i="1"/>
  <c r="N24" i="1" s="1"/>
  <c r="O24" i="1" s="1"/>
  <c r="BA32" i="1"/>
  <c r="BA40" i="1"/>
  <c r="BA48" i="1"/>
  <c r="BA56" i="1"/>
  <c r="BA9" i="1"/>
  <c r="BA17" i="1"/>
  <c r="BA25" i="1"/>
  <c r="BA33" i="1"/>
  <c r="BA41" i="1"/>
  <c r="BA49" i="1"/>
  <c r="BA10" i="1"/>
  <c r="BA18" i="1"/>
  <c r="BA26" i="1"/>
  <c r="N26" i="1" s="1"/>
  <c r="O26" i="1" s="1"/>
  <c r="BA34" i="1"/>
  <c r="BA42" i="1"/>
  <c r="BA50" i="1"/>
  <c r="BA11" i="1"/>
  <c r="BA19" i="1"/>
  <c r="BA27" i="1"/>
  <c r="BA35" i="1"/>
  <c r="BA43" i="1"/>
  <c r="BA51" i="1"/>
  <c r="AV11" i="1"/>
  <c r="AV19" i="1"/>
  <c r="AV27" i="1"/>
  <c r="AV35" i="1"/>
  <c r="AV43" i="1"/>
  <c r="AV51" i="1"/>
  <c r="L51" i="1" s="1"/>
  <c r="M51" i="1" s="1"/>
  <c r="AV34" i="1"/>
  <c r="AV12" i="1"/>
  <c r="AV20" i="1"/>
  <c r="AV28" i="1"/>
  <c r="AV36" i="1"/>
  <c r="AV44" i="1"/>
  <c r="AV52" i="1"/>
  <c r="AV50" i="1"/>
  <c r="AV13" i="1"/>
  <c r="L13" i="1" s="1"/>
  <c r="M13" i="1" s="1"/>
  <c r="AV21" i="1"/>
  <c r="AV29" i="1"/>
  <c r="AV37" i="1"/>
  <c r="AV45" i="1"/>
  <c r="AV53" i="1"/>
  <c r="AV10" i="1"/>
  <c r="AV42" i="1"/>
  <c r="AV14" i="1"/>
  <c r="AV22" i="1"/>
  <c r="AV30" i="1"/>
  <c r="L30" i="1" s="1"/>
  <c r="M30" i="1" s="1"/>
  <c r="AV38" i="1"/>
  <c r="AV46" i="1"/>
  <c r="AV54" i="1"/>
  <c r="AV7" i="1"/>
  <c r="AV15" i="1"/>
  <c r="L15" i="1" s="1"/>
  <c r="M15" i="1" s="1"/>
  <c r="AV23" i="1"/>
  <c r="AV31" i="1"/>
  <c r="AV39" i="1"/>
  <c r="AV47" i="1"/>
  <c r="AV55" i="1"/>
  <c r="AV18" i="1"/>
  <c r="AV8" i="1"/>
  <c r="AV16" i="1"/>
  <c r="AV24" i="1"/>
  <c r="L24" i="1" s="1"/>
  <c r="M24" i="1" s="1"/>
  <c r="AV32" i="1"/>
  <c r="AV40" i="1"/>
  <c r="L40" i="1" s="1"/>
  <c r="M40" i="1" s="1"/>
  <c r="AV48" i="1"/>
  <c r="L48" i="1" s="1"/>
  <c r="M48" i="1" s="1"/>
  <c r="AV56" i="1"/>
  <c r="AV26" i="1"/>
  <c r="AV9" i="1"/>
  <c r="AV17" i="1"/>
  <c r="AV25" i="1"/>
  <c r="AV33" i="1"/>
  <c r="AV41" i="1"/>
  <c r="AV49" i="1"/>
  <c r="AC3" i="1"/>
  <c r="AD3" i="1"/>
  <c r="AJ3" i="1"/>
  <c r="V3" i="1"/>
  <c r="P3" i="1"/>
  <c r="CD9" i="1"/>
  <c r="CD17" i="1"/>
  <c r="CD25" i="1"/>
  <c r="CD33" i="1"/>
  <c r="CD41" i="1"/>
  <c r="CD49" i="1"/>
  <c r="CD13" i="1"/>
  <c r="CD29" i="1"/>
  <c r="CD45" i="1"/>
  <c r="CD10" i="1"/>
  <c r="CD18" i="1"/>
  <c r="CD26" i="1"/>
  <c r="CD34" i="1"/>
  <c r="CD42" i="1"/>
  <c r="CD50" i="1"/>
  <c r="CD37" i="1"/>
  <c r="CD11" i="1"/>
  <c r="CD19" i="1"/>
  <c r="CD27" i="1"/>
  <c r="CD35" i="1"/>
  <c r="CD43" i="1"/>
  <c r="CD51" i="1"/>
  <c r="CD12" i="1"/>
  <c r="CD20" i="1"/>
  <c r="CD28" i="1"/>
  <c r="CD36" i="1"/>
  <c r="CD44" i="1"/>
  <c r="CD52" i="1"/>
  <c r="CD21" i="1"/>
  <c r="CD53" i="1"/>
  <c r="CD14" i="1"/>
  <c r="CD22" i="1"/>
  <c r="CD30" i="1"/>
  <c r="CD38" i="1"/>
  <c r="CD46" i="1"/>
  <c r="CD54" i="1"/>
  <c r="CD16" i="1"/>
  <c r="CD32" i="1"/>
  <c r="CD48" i="1"/>
  <c r="CD7" i="1"/>
  <c r="CD15" i="1"/>
  <c r="CD23" i="1"/>
  <c r="CD31" i="1"/>
  <c r="CD39" i="1"/>
  <c r="CD47" i="1"/>
  <c r="CD55" i="1"/>
  <c r="CD8" i="1"/>
  <c r="CD24" i="1"/>
  <c r="CD40" i="1"/>
  <c r="CD56" i="1"/>
  <c r="CA7" i="1"/>
  <c r="CA15" i="1"/>
  <c r="CA23" i="1"/>
  <c r="CA31" i="1"/>
  <c r="CA39" i="1"/>
  <c r="CA47" i="1"/>
  <c r="CA55" i="1"/>
  <c r="CA11" i="1"/>
  <c r="CA35" i="1"/>
  <c r="CA51" i="1"/>
  <c r="CA8" i="1"/>
  <c r="CA16" i="1"/>
  <c r="CA24" i="1"/>
  <c r="CA32" i="1"/>
  <c r="CA40" i="1"/>
  <c r="CA48" i="1"/>
  <c r="CA56" i="1"/>
  <c r="CA27" i="1"/>
  <c r="CA9" i="1"/>
  <c r="CA17" i="1"/>
  <c r="CA25" i="1"/>
  <c r="CA33" i="1"/>
  <c r="CA41" i="1"/>
  <c r="CA49" i="1"/>
  <c r="CA10" i="1"/>
  <c r="CA18" i="1"/>
  <c r="CA26" i="1"/>
  <c r="CA34" i="1"/>
  <c r="CA42" i="1"/>
  <c r="CA50" i="1"/>
  <c r="CA19" i="1"/>
  <c r="CA43" i="1"/>
  <c r="CA12" i="1"/>
  <c r="CA20" i="1"/>
  <c r="CA28" i="1"/>
  <c r="CA36" i="1"/>
  <c r="CA44" i="1"/>
  <c r="CA52" i="1"/>
  <c r="CA22" i="1"/>
  <c r="CA38" i="1"/>
  <c r="CA54" i="1"/>
  <c r="CA13" i="1"/>
  <c r="CA21" i="1"/>
  <c r="CA29" i="1"/>
  <c r="CA37" i="1"/>
  <c r="CA45" i="1"/>
  <c r="CA53" i="1"/>
  <c r="CA14" i="1"/>
  <c r="CA30" i="1"/>
  <c r="CA46" i="1"/>
  <c r="AT7" i="1"/>
  <c r="AT15" i="1"/>
  <c r="AT23" i="1"/>
  <c r="AT31" i="1"/>
  <c r="AT39" i="1"/>
  <c r="AT47" i="1"/>
  <c r="AT55" i="1"/>
  <c r="AT54" i="1"/>
  <c r="AT8" i="1"/>
  <c r="AT16" i="1"/>
  <c r="AT24" i="1"/>
  <c r="AT32" i="1"/>
  <c r="AT40" i="1"/>
  <c r="AT48" i="1"/>
  <c r="AT56" i="1"/>
  <c r="AT14" i="1"/>
  <c r="AT9" i="1"/>
  <c r="AT17" i="1"/>
  <c r="AT25" i="1"/>
  <c r="AT33" i="1"/>
  <c r="AT41" i="1"/>
  <c r="AT49" i="1"/>
  <c r="L49" i="1" s="1"/>
  <c r="M49" i="1" s="1"/>
  <c r="AT38" i="1"/>
  <c r="AT10" i="1"/>
  <c r="AT18" i="1"/>
  <c r="AT26" i="1"/>
  <c r="AT34" i="1"/>
  <c r="AT42" i="1"/>
  <c r="AT50" i="1"/>
  <c r="AT30" i="1"/>
  <c r="AT11" i="1"/>
  <c r="AT19" i="1"/>
  <c r="AT27" i="1"/>
  <c r="AT35" i="1"/>
  <c r="AT43" i="1"/>
  <c r="AT51" i="1"/>
  <c r="AT46" i="1"/>
  <c r="AT12" i="1"/>
  <c r="AT20" i="1"/>
  <c r="AT28" i="1"/>
  <c r="AT36" i="1"/>
  <c r="AT44" i="1"/>
  <c r="AT52" i="1"/>
  <c r="AT13" i="1"/>
  <c r="AT21" i="1"/>
  <c r="AT29" i="1"/>
  <c r="AT37" i="1"/>
  <c r="AT45" i="1"/>
  <c r="AT53" i="1"/>
  <c r="AT22" i="1"/>
  <c r="AX7" i="1"/>
  <c r="AX15" i="1"/>
  <c r="AX23" i="1"/>
  <c r="AX31" i="1"/>
  <c r="AX39" i="1"/>
  <c r="AX47" i="1"/>
  <c r="N47" i="1"/>
  <c r="O47" i="1" s="1"/>
  <c r="AX55" i="1"/>
  <c r="AX8" i="1"/>
  <c r="AX16" i="1"/>
  <c r="AX24" i="1"/>
  <c r="AX32" i="1"/>
  <c r="AX40" i="1"/>
  <c r="AX48" i="1"/>
  <c r="AX56" i="1"/>
  <c r="AX14" i="1"/>
  <c r="AX54" i="1"/>
  <c r="AX9" i="1"/>
  <c r="AX17" i="1"/>
  <c r="AX25" i="1"/>
  <c r="N25" i="1" s="1"/>
  <c r="O25" i="1" s="1"/>
  <c r="AX33" i="1"/>
  <c r="AX41" i="1"/>
  <c r="AX49" i="1"/>
  <c r="AX46" i="1"/>
  <c r="AX10" i="1"/>
  <c r="N10" i="1"/>
  <c r="O10" i="1" s="1"/>
  <c r="AX18" i="1"/>
  <c r="AX26" i="1"/>
  <c r="AX34" i="1"/>
  <c r="AX42" i="1"/>
  <c r="AX50" i="1"/>
  <c r="AX22" i="1"/>
  <c r="AX11" i="1"/>
  <c r="AX19" i="1"/>
  <c r="AX27" i="1"/>
  <c r="N27" i="1"/>
  <c r="O27" i="1" s="1"/>
  <c r="AX35" i="1"/>
  <c r="AX43" i="1"/>
  <c r="AX51" i="1"/>
  <c r="AX38" i="1"/>
  <c r="N38" i="1" s="1"/>
  <c r="O38" i="1" s="1"/>
  <c r="AX12" i="1"/>
  <c r="AX20" i="1"/>
  <c r="AX28" i="1"/>
  <c r="AX36" i="1"/>
  <c r="N36" i="1" s="1"/>
  <c r="O36" i="1" s="1"/>
  <c r="AX44" i="1"/>
  <c r="AX52" i="1"/>
  <c r="AX13" i="1"/>
  <c r="AX21" i="1"/>
  <c r="AX29" i="1"/>
  <c r="AX37" i="1"/>
  <c r="AX45" i="1"/>
  <c r="AX53" i="1"/>
  <c r="AX30" i="1"/>
  <c r="AU9" i="1"/>
  <c r="AU17" i="1"/>
  <c r="AU25" i="1"/>
  <c r="L25" i="1" s="1"/>
  <c r="M25" i="1" s="1"/>
  <c r="AU33" i="1"/>
  <c r="L33" i="1" s="1"/>
  <c r="M33" i="1" s="1"/>
  <c r="AU41" i="1"/>
  <c r="AU49" i="1"/>
  <c r="AU40" i="1"/>
  <c r="AU10" i="1"/>
  <c r="AU18" i="1"/>
  <c r="L18" i="1" s="1"/>
  <c r="M18" i="1" s="1"/>
  <c r="AU26" i="1"/>
  <c r="AU34" i="1"/>
  <c r="AU42" i="1"/>
  <c r="AU50" i="1"/>
  <c r="AU11" i="1"/>
  <c r="AU19" i="1"/>
  <c r="AU27" i="1"/>
  <c r="AU35" i="1"/>
  <c r="AU43" i="1"/>
  <c r="AU51" i="1"/>
  <c r="AU24" i="1"/>
  <c r="AU56" i="1"/>
  <c r="AU12" i="1"/>
  <c r="L12" i="1" s="1"/>
  <c r="M12" i="1" s="1"/>
  <c r="AU20" i="1"/>
  <c r="AU28" i="1"/>
  <c r="L28" i="1" s="1"/>
  <c r="M28" i="1" s="1"/>
  <c r="AU36" i="1"/>
  <c r="L36" i="1" s="1"/>
  <c r="M36" i="1" s="1"/>
  <c r="AU44" i="1"/>
  <c r="AU52" i="1"/>
  <c r="AU16" i="1"/>
  <c r="AU13" i="1"/>
  <c r="AU21" i="1"/>
  <c r="AU29" i="1"/>
  <c r="AU37" i="1"/>
  <c r="AU45" i="1"/>
  <c r="L45" i="1" s="1"/>
  <c r="M45" i="1" s="1"/>
  <c r="AU53" i="1"/>
  <c r="AU32" i="1"/>
  <c r="L32" i="1" s="1"/>
  <c r="M32" i="1" s="1"/>
  <c r="AU14" i="1"/>
  <c r="L14" i="1" s="1"/>
  <c r="M14" i="1" s="1"/>
  <c r="AU22" i="1"/>
  <c r="AU30" i="1"/>
  <c r="AU38" i="1"/>
  <c r="AU46" i="1"/>
  <c r="AU54" i="1"/>
  <c r="AU48" i="1"/>
  <c r="AU7" i="1"/>
  <c r="AU15" i="1"/>
  <c r="AU23" i="1"/>
  <c r="AU31" i="1"/>
  <c r="L31" i="1" s="1"/>
  <c r="M31" i="1" s="1"/>
  <c r="AU39" i="1"/>
  <c r="L39" i="1" s="1"/>
  <c r="M39" i="1" s="1"/>
  <c r="AU47" i="1"/>
  <c r="L47" i="1" s="1"/>
  <c r="M47" i="1" s="1"/>
  <c r="AU55" i="1"/>
  <c r="AU8" i="1"/>
  <c r="E23" i="1"/>
  <c r="D23" i="1"/>
  <c r="L54" i="1"/>
  <c r="M54" i="1" s="1"/>
  <c r="L53" i="1"/>
  <c r="M53" i="1" s="1"/>
  <c r="L11" i="1"/>
  <c r="M11" i="1" s="1"/>
  <c r="N13" i="1"/>
  <c r="O13" i="1" s="1"/>
  <c r="L35" i="1"/>
  <c r="M35" i="1" s="1"/>
  <c r="L17" i="1"/>
  <c r="M17" i="1" s="1"/>
  <c r="N49" i="1" l="1"/>
  <c r="O49" i="1" s="1"/>
  <c r="N44" i="1"/>
  <c r="O44" i="1" s="1"/>
  <c r="N9" i="1"/>
  <c r="O9" i="1" s="1"/>
  <c r="N50" i="1"/>
  <c r="O50" i="1" s="1"/>
  <c r="N42" i="1"/>
  <c r="O42" i="1" s="1"/>
  <c r="N56" i="1"/>
  <c r="O56" i="1" s="1"/>
  <c r="N12" i="1"/>
  <c r="O12" i="1" s="1"/>
  <c r="N34" i="1"/>
  <c r="O34" i="1" s="1"/>
  <c r="N32" i="1"/>
  <c r="O32" i="1" s="1"/>
  <c r="N41" i="1"/>
  <c r="O41" i="1" s="1"/>
  <c r="N20" i="1"/>
  <c r="O20" i="1" s="1"/>
  <c r="N54" i="1"/>
  <c r="O54" i="1" s="1"/>
  <c r="N16" i="1"/>
  <c r="O16" i="1" s="1"/>
  <c r="N43" i="1"/>
  <c r="O43" i="1" s="1"/>
  <c r="N18" i="1"/>
  <c r="O18" i="1" s="1"/>
  <c r="N19" i="1"/>
  <c r="O19" i="1" s="1"/>
  <c r="N29" i="1"/>
  <c r="O29" i="1" s="1"/>
  <c r="N39" i="1"/>
  <c r="O39" i="1" s="1"/>
  <c r="N48" i="1"/>
  <c r="O48" i="1" s="1"/>
  <c r="N23" i="1"/>
  <c r="O23" i="1" s="1"/>
  <c r="N11" i="1"/>
  <c r="O11" i="1" s="1"/>
  <c r="N22" i="1"/>
  <c r="O22" i="1" s="1"/>
  <c r="N45" i="1"/>
  <c r="O45" i="1" s="1"/>
  <c r="N53" i="1"/>
  <c r="O53" i="1" s="1"/>
  <c r="N17" i="1"/>
  <c r="O17" i="1" s="1"/>
  <c r="N40" i="1"/>
  <c r="O40" i="1" s="1"/>
  <c r="N28" i="1"/>
  <c r="O28" i="1" s="1"/>
  <c r="N15" i="1"/>
  <c r="O15" i="1" s="1"/>
  <c r="L10" i="1"/>
  <c r="M10" i="1" s="1"/>
  <c r="L46" i="1"/>
  <c r="M46" i="1" s="1"/>
  <c r="L29" i="1"/>
  <c r="M29" i="1" s="1"/>
  <c r="L52" i="1"/>
  <c r="M52" i="1" s="1"/>
  <c r="L41" i="1"/>
  <c r="M41" i="1" s="1"/>
  <c r="L44" i="1"/>
  <c r="M44" i="1" s="1"/>
  <c r="L19" i="1"/>
  <c r="M19" i="1" s="1"/>
  <c r="L55" i="1"/>
  <c r="M55" i="1" s="1"/>
  <c r="L50" i="1"/>
  <c r="M50" i="1" s="1"/>
  <c r="L9" i="1"/>
  <c r="M9" i="1" s="1"/>
  <c r="L42" i="1"/>
  <c r="M42" i="1" s="1"/>
  <c r="L20" i="1"/>
  <c r="M20" i="1" s="1"/>
  <c r="L56" i="1"/>
  <c r="M56" i="1" s="1"/>
  <c r="L23" i="1"/>
  <c r="M23" i="1" s="1"/>
  <c r="L22" i="1"/>
  <c r="M22" i="1" s="1"/>
  <c r="L26" i="1"/>
  <c r="M26" i="1" s="1"/>
  <c r="L37" i="1"/>
  <c r="M37" i="1" s="1"/>
  <c r="L43" i="1"/>
  <c r="M43" i="1" s="1"/>
  <c r="L38" i="1"/>
  <c r="M38" i="1" s="1"/>
  <c r="L16" i="1"/>
  <c r="M16" i="1" s="1"/>
  <c r="L21" i="1"/>
  <c r="M21" i="1" s="1"/>
  <c r="L27" i="1"/>
  <c r="M27" i="1" s="1"/>
  <c r="L8" i="1"/>
  <c r="M8" i="1" s="1"/>
  <c r="L34" i="1"/>
  <c r="M34" i="1" s="1"/>
  <c r="L7" i="1"/>
  <c r="M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Rondera</author>
  </authors>
  <commentList>
    <comment ref="E16" authorId="0" shapeId="0" xr:uid="{5AA34B3A-1247-4756-B4E0-5563619318DA}">
      <text>
        <r>
          <rPr>
            <b/>
            <sz val="9"/>
            <color indexed="81"/>
            <rFont val="Tahoma"/>
            <family val="2"/>
          </rPr>
          <t>The Final Grade includes ALL activities cummulatively.</t>
        </r>
      </text>
    </comment>
    <comment ref="E17" authorId="0" shapeId="0" xr:uid="{7EFB419C-1D0B-45EE-8845-EB7A52F1D81A}">
      <text>
        <r>
          <rPr>
            <sz val="9"/>
            <color rgb="FF000000"/>
            <rFont val="Tahoma"/>
            <family val="2"/>
          </rPr>
          <t>Inclusive of all entries under this component in both midterm and post-midterm periods.</t>
        </r>
      </text>
    </comment>
    <comment ref="E18" authorId="0" shapeId="0" xr:uid="{5C9B682A-5BB8-4445-AA6A-47B3460F165C}">
      <text>
        <r>
          <rPr>
            <sz val="9"/>
            <color rgb="FF000000"/>
            <rFont val="Tahoma"/>
            <family val="2"/>
          </rPr>
          <t>Inclusive of all entries under this component in both midterm and post-midterm periods.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asterlist" description="Connection to the 'Masterlist' query in the workbook." type="5" refreshedVersion="8" background="1" saveData="1">
    <dbPr connection="Provider=Microsoft.Mashup.OleDb.1;Data Source=$Workbook$;Location=Masterlist;Extended Properties=&quot;&quot;" command="SELECT * FROM [Masterlist]"/>
  </connection>
</connections>
</file>

<file path=xl/sharedStrings.xml><?xml version="1.0" encoding="utf-8"?>
<sst xmlns="http://schemas.openxmlformats.org/spreadsheetml/2006/main" count="6268" uniqueCount="298">
  <si>
    <t>CLASS RECORD</t>
  </si>
  <si>
    <t>Second Term</t>
  </si>
  <si>
    <t>Faculty Name</t>
  </si>
  <si>
    <t>Academic Year</t>
  </si>
  <si>
    <t>Term</t>
  </si>
  <si>
    <t>Science and Mathematics Cluster</t>
  </si>
  <si>
    <t>JENNIFER D. REGALA</t>
  </si>
  <si>
    <t>Department</t>
  </si>
  <si>
    <t>Program Chair / Cluster Coordinator</t>
  </si>
  <si>
    <t>Sheet #</t>
  </si>
  <si>
    <t>Section</t>
  </si>
  <si>
    <t>Subject Code</t>
  </si>
  <si>
    <t>Subject Title</t>
  </si>
  <si>
    <t>Day</t>
  </si>
  <si>
    <t>Time</t>
  </si>
  <si>
    <t>Room</t>
  </si>
  <si>
    <t>Course Type</t>
  </si>
  <si>
    <t>Units</t>
  </si>
  <si>
    <t>ARC 234</t>
  </si>
  <si>
    <t>MTH</t>
  </si>
  <si>
    <t>7:00AM -9:00AM</t>
  </si>
  <si>
    <t>Lecture / Laboratory</t>
  </si>
  <si>
    <t>created by: marcrondera 8Jan2023</t>
  </si>
  <si>
    <t>#</t>
  </si>
  <si>
    <t>Student ID</t>
  </si>
  <si>
    <t>Student Name</t>
  </si>
  <si>
    <t>Course</t>
  </si>
  <si>
    <t>BONUS</t>
  </si>
  <si>
    <t>Midterm Grade</t>
  </si>
  <si>
    <t>Final Grade</t>
  </si>
  <si>
    <t>MIDTERM PERIOD</t>
  </si>
  <si>
    <t>POST-MIDTERM PERIOD</t>
  </si>
  <si>
    <t>Remarks</t>
  </si>
  <si>
    <t>LO1</t>
  </si>
  <si>
    <t>Q1</t>
  </si>
  <si>
    <t>P1</t>
  </si>
  <si>
    <t>P2</t>
  </si>
  <si>
    <t>CV</t>
  </si>
  <si>
    <t>CP</t>
  </si>
  <si>
    <t>LO2</t>
  </si>
  <si>
    <t>P3</t>
  </si>
  <si>
    <t>LS</t>
  </si>
  <si>
    <t>B</t>
  </si>
  <si>
    <t>Raw Grade</t>
  </si>
  <si>
    <t>Grade Point</t>
  </si>
  <si>
    <t>No</t>
  </si>
  <si>
    <t>Bonus</t>
  </si>
  <si>
    <t>MRG</t>
  </si>
  <si>
    <t>MGP</t>
  </si>
  <si>
    <t>FRG</t>
  </si>
  <si>
    <t>FGP</t>
  </si>
  <si>
    <t>CP1</t>
  </si>
  <si>
    <t>CP2</t>
  </si>
  <si>
    <t>CP3</t>
  </si>
  <si>
    <t>CP4</t>
  </si>
  <si>
    <t>CP5</t>
  </si>
  <si>
    <t>CP6</t>
  </si>
  <si>
    <t>EA1</t>
  </si>
  <si>
    <t>EA2</t>
  </si>
  <si>
    <t>EA3</t>
  </si>
  <si>
    <t>EA4</t>
  </si>
  <si>
    <t>EA5</t>
  </si>
  <si>
    <t>EA6</t>
  </si>
  <si>
    <t>MPT</t>
  </si>
  <si>
    <t>MEXC</t>
  </si>
  <si>
    <t>CP7</t>
  </si>
  <si>
    <t>CP8</t>
  </si>
  <si>
    <t>CP9</t>
  </si>
  <si>
    <t>CP10</t>
  </si>
  <si>
    <t>CP11</t>
  </si>
  <si>
    <t>CP12</t>
  </si>
  <si>
    <t>EA7</t>
  </si>
  <si>
    <t>EA8</t>
  </si>
  <si>
    <t>EA9</t>
  </si>
  <si>
    <t>EA10</t>
  </si>
  <si>
    <t>EA11</t>
  </si>
  <si>
    <t>EA12</t>
  </si>
  <si>
    <t>FPT</t>
  </si>
  <si>
    <t>FEXC</t>
  </si>
  <si>
    <t>%MidtermCP</t>
  </si>
  <si>
    <t>%MidtermEA</t>
  </si>
  <si>
    <t>%MidtermMPT</t>
  </si>
  <si>
    <t>%MidtermExC</t>
  </si>
  <si>
    <t>%FinalsCP</t>
  </si>
  <si>
    <t>%FinalsEA</t>
  </si>
  <si>
    <t>%FinalsFPT</t>
  </si>
  <si>
    <t>%FinalsMPT</t>
  </si>
  <si>
    <t>%FinalsExC</t>
  </si>
  <si>
    <t>NCP1</t>
  </si>
  <si>
    <t>NCP2</t>
  </si>
  <si>
    <t>NCP3</t>
  </si>
  <si>
    <t>NCP4</t>
  </si>
  <si>
    <t>NCP5</t>
  </si>
  <si>
    <t>NCP6</t>
  </si>
  <si>
    <t>SCP1</t>
  </si>
  <si>
    <t>SCP2</t>
  </si>
  <si>
    <t>SCP3</t>
  </si>
  <si>
    <t>SCP4</t>
  </si>
  <si>
    <t>SCP5</t>
  </si>
  <si>
    <t>SCP6</t>
  </si>
  <si>
    <t>NEA1</t>
  </si>
  <si>
    <t>NEA2</t>
  </si>
  <si>
    <t>NEA3</t>
  </si>
  <si>
    <t>NEA4</t>
  </si>
  <si>
    <t>NEA5</t>
  </si>
  <si>
    <t>NEA6</t>
  </si>
  <si>
    <t>SEA1</t>
  </si>
  <si>
    <t>SEA2</t>
  </si>
  <si>
    <t>SEA3</t>
  </si>
  <si>
    <t>SEA4</t>
  </si>
  <si>
    <t>SEA5</t>
  </si>
  <si>
    <t>SEA6</t>
  </si>
  <si>
    <t>NMPT</t>
  </si>
  <si>
    <t>SMPT</t>
  </si>
  <si>
    <t>SMEXC</t>
  </si>
  <si>
    <t>NMEXC</t>
  </si>
  <si>
    <t>NCP7</t>
  </si>
  <si>
    <t>NCP8</t>
  </si>
  <si>
    <t>NCP9</t>
  </si>
  <si>
    <t>NCP10</t>
  </si>
  <si>
    <t>NCP11</t>
  </si>
  <si>
    <t>NCP12</t>
  </si>
  <si>
    <t>SCP7</t>
  </si>
  <si>
    <t>SCP8</t>
  </si>
  <si>
    <t>SCP9</t>
  </si>
  <si>
    <t>SCP10</t>
  </si>
  <si>
    <t>SCP11</t>
  </si>
  <si>
    <t>SCP12</t>
  </si>
  <si>
    <t>NEA7</t>
  </si>
  <si>
    <t>NEA8</t>
  </si>
  <si>
    <t>NEA9</t>
  </si>
  <si>
    <t>NEA10</t>
  </si>
  <si>
    <t>NEA11</t>
  </si>
  <si>
    <t>NEA12</t>
  </si>
  <si>
    <t>SEA7</t>
  </si>
  <si>
    <t>SEA8</t>
  </si>
  <si>
    <t>SEA9</t>
  </si>
  <si>
    <t>SEA10</t>
  </si>
  <si>
    <t>SEA11</t>
  </si>
  <si>
    <t>SEA12</t>
  </si>
  <si>
    <t>SFPT</t>
  </si>
  <si>
    <t>NFPT</t>
  </si>
  <si>
    <t>NFEXC</t>
  </si>
  <si>
    <t>SFEXC</t>
  </si>
  <si>
    <t>Term &amp; Academic Year</t>
  </si>
  <si>
    <t>Day | Time | Room</t>
  </si>
  <si>
    <t>Grade Components</t>
  </si>
  <si>
    <t>Percentage Allocation</t>
  </si>
  <si>
    <t>Performance Task</t>
  </si>
  <si>
    <t>Midterm Exam</t>
  </si>
  <si>
    <t>Final Exam</t>
  </si>
  <si>
    <t>Total</t>
  </si>
  <si>
    <t>Grade Point Equivalent Table</t>
  </si>
  <si>
    <t>Prepared by:</t>
  </si>
  <si>
    <t>59 and below</t>
  </si>
  <si>
    <t>R</t>
  </si>
  <si>
    <t>60 - 65</t>
  </si>
  <si>
    <t>Faculty Signature and Date</t>
  </si>
  <si>
    <t>66 - 71</t>
  </si>
  <si>
    <t>72 - 77</t>
  </si>
  <si>
    <t>78 - 83</t>
  </si>
  <si>
    <t>84 - 89</t>
  </si>
  <si>
    <t>Program Chair / Coordinator and Date</t>
  </si>
  <si>
    <t>90 - 95</t>
  </si>
  <si>
    <t>96 - 100</t>
  </si>
  <si>
    <t>Content.Student ID</t>
  </si>
  <si>
    <t>Content.Student Name</t>
  </si>
  <si>
    <t>Content.Course</t>
  </si>
  <si>
    <t>Content.Bonus</t>
  </si>
  <si>
    <t>Content.MRG</t>
  </si>
  <si>
    <t>Content.MGP</t>
  </si>
  <si>
    <t>Content.FRG</t>
  </si>
  <si>
    <t>Content.FGP</t>
  </si>
  <si>
    <t>Content.CP1</t>
  </si>
  <si>
    <t>Content.CP2</t>
  </si>
  <si>
    <t>Content.CP3</t>
  </si>
  <si>
    <t>Content.CP4</t>
  </si>
  <si>
    <t>Content.CP5</t>
  </si>
  <si>
    <t>Content.CP6</t>
  </si>
  <si>
    <t>Content.EA1</t>
  </si>
  <si>
    <t>Content.EA2</t>
  </si>
  <si>
    <t>Content.EA3</t>
  </si>
  <si>
    <t>Content.EA4</t>
  </si>
  <si>
    <t>Content.EA5</t>
  </si>
  <si>
    <t>Content.EA6</t>
  </si>
  <si>
    <t>Content.MPT</t>
  </si>
  <si>
    <t>Content.MEXC</t>
  </si>
  <si>
    <t>Content.CP7</t>
  </si>
  <si>
    <t>Content.CP8</t>
  </si>
  <si>
    <t>Content.CP9</t>
  </si>
  <si>
    <t>Content.CP10</t>
  </si>
  <si>
    <t>Content.CP11</t>
  </si>
  <si>
    <t>Content.CP12</t>
  </si>
  <si>
    <t>Content.EA7</t>
  </si>
  <si>
    <t>Content.EA8</t>
  </si>
  <si>
    <t>Content.EA9</t>
  </si>
  <si>
    <t>Content.EA10</t>
  </si>
  <si>
    <t>Content.EA11</t>
  </si>
  <si>
    <t>Content.EA12</t>
  </si>
  <si>
    <t>Content.FPT</t>
  </si>
  <si>
    <t>Content.FEXC</t>
  </si>
  <si>
    <t>Content.Remarks</t>
  </si>
  <si>
    <t>Content.Section</t>
  </si>
  <si>
    <t>Content.%MidtermCP</t>
  </si>
  <si>
    <t>Content.%MidtermEA</t>
  </si>
  <si>
    <t>Content.%MidtermMPT</t>
  </si>
  <si>
    <t>Content.%MidtermExC</t>
  </si>
  <si>
    <t>Content.%FinalsCP</t>
  </si>
  <si>
    <t>Content.%FinalsEA</t>
  </si>
  <si>
    <t>Content.%FinalsFPT</t>
  </si>
  <si>
    <t>Content.%FinalsMPT</t>
  </si>
  <si>
    <t>Content.%FinalsExC</t>
  </si>
  <si>
    <t>Content.NCP1</t>
  </si>
  <si>
    <t>Content.NCP2</t>
  </si>
  <si>
    <t>Content.NCP3</t>
  </si>
  <si>
    <t>Content.NCP4</t>
  </si>
  <si>
    <t>Content.NCP5</t>
  </si>
  <si>
    <t>Content.NCP6</t>
  </si>
  <si>
    <t>Content.SCP1</t>
  </si>
  <si>
    <t>Content.SCP2</t>
  </si>
  <si>
    <t>Content.SCP3</t>
  </si>
  <si>
    <t>Content.SCP4</t>
  </si>
  <si>
    <t>Content.SCP5</t>
  </si>
  <si>
    <t>Content.SCP6</t>
  </si>
  <si>
    <t>Content.NEA1</t>
  </si>
  <si>
    <t>Content.NEA2</t>
  </si>
  <si>
    <t>Content.NEA3</t>
  </si>
  <si>
    <t>Content.NEA4</t>
  </si>
  <si>
    <t>Content.NEA5</t>
  </si>
  <si>
    <t>Content.NEA6</t>
  </si>
  <si>
    <t>Content.SEA1</t>
  </si>
  <si>
    <t>Content.SEA2</t>
  </si>
  <si>
    <t>Content.SEA3</t>
  </si>
  <si>
    <t>Content.SEA4</t>
  </si>
  <si>
    <t>Content.SEA5</t>
  </si>
  <si>
    <t>Content.SEA6</t>
  </si>
  <si>
    <t>Content.NMPT</t>
  </si>
  <si>
    <t>Content.SMPT</t>
  </si>
  <si>
    <t>Content.SMEXC</t>
  </si>
  <si>
    <t>Content.NMEXC</t>
  </si>
  <si>
    <t>Content.NCP7</t>
  </si>
  <si>
    <t>Content.NCP8</t>
  </si>
  <si>
    <t>Content.NCP9</t>
  </si>
  <si>
    <t>Content.NCP10</t>
  </si>
  <si>
    <t>Content.NCP11</t>
  </si>
  <si>
    <t>Content.NCP12</t>
  </si>
  <si>
    <t>Content.SCP7</t>
  </si>
  <si>
    <t>Content.SCP8</t>
  </si>
  <si>
    <t>Content.SCP9</t>
  </si>
  <si>
    <t>Content.SCP10</t>
  </si>
  <si>
    <t>Content.SCP11</t>
  </si>
  <si>
    <t>Content.SCP12</t>
  </si>
  <si>
    <t>Content.NEA7</t>
  </si>
  <si>
    <t>Content.NEA8</t>
  </si>
  <si>
    <t>Content.NEA9</t>
  </si>
  <si>
    <t>Content.NEA10</t>
  </si>
  <si>
    <t>Content.NEA11</t>
  </si>
  <si>
    <t>Content.NEA12</t>
  </si>
  <si>
    <t>Content.SEA7</t>
  </si>
  <si>
    <t>Content.SEA8</t>
  </si>
  <si>
    <t>Content.SEA9</t>
  </si>
  <si>
    <t>Content.SEA10</t>
  </si>
  <si>
    <t>Content.SEA11</t>
  </si>
  <si>
    <t>Content.SEA12</t>
  </si>
  <si>
    <t>Content.SFPT</t>
  </si>
  <si>
    <t>Content.NFPT</t>
  </si>
  <si>
    <t>Content.NFEXC</t>
  </si>
  <si>
    <t>Content.SFEXC</t>
  </si>
  <si>
    <t xml:space="preserve"> </t>
  </si>
  <si>
    <t>Recit 1</t>
  </si>
  <si>
    <t>Act1</t>
  </si>
  <si>
    <t>Midterm Performance Task</t>
  </si>
  <si>
    <t>Q7</t>
  </si>
  <si>
    <t>Act7</t>
  </si>
  <si>
    <t>Final Performance Task</t>
  </si>
  <si>
    <t>Chikahan1</t>
  </si>
  <si>
    <t>Research</t>
  </si>
  <si>
    <t>First Term</t>
  </si>
  <si>
    <t>Bridging Course [P/F]</t>
  </si>
  <si>
    <t>Nationalian [Graded]</t>
  </si>
  <si>
    <t>Third Term</t>
  </si>
  <si>
    <t>Nationalian [P/F]</t>
  </si>
  <si>
    <t>Practicum</t>
  </si>
  <si>
    <t>Advanced Comm.</t>
  </si>
  <si>
    <t>%</t>
  </si>
  <si>
    <t>Equiv</t>
  </si>
  <si>
    <t>2.0</t>
  </si>
  <si>
    <t>2.5</t>
  </si>
  <si>
    <t>3.0</t>
  </si>
  <si>
    <t>3.5</t>
  </si>
  <si>
    <t>4.0</t>
  </si>
  <si>
    <t>1.0</t>
  </si>
  <si>
    <t>1.5</t>
  </si>
  <si>
    <t>Learning Activities</t>
  </si>
  <si>
    <t>MA. KATHERINE L. CALUNOD</t>
  </si>
  <si>
    <t>2024 - 2025</t>
  </si>
  <si>
    <t>GEITE01X</t>
  </si>
  <si>
    <t>Living in the IT 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</si>
</sst>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 Light"/>
      <family val="2"/>
    </font>
    <font>
      <sz val="12"/>
      <color theme="1"/>
      <name val="Cambria"/>
      <family val="1"/>
    </font>
    <font>
      <sz val="8"/>
      <color theme="0"/>
      <name val="Cambria"/>
      <family val="1"/>
    </font>
    <font>
      <sz val="12"/>
      <color theme="0"/>
      <name val="Cambria"/>
      <family val="1"/>
    </font>
    <font>
      <b/>
      <u/>
      <sz val="20"/>
      <color theme="1"/>
      <name val="Cambria"/>
      <family val="1"/>
    </font>
    <font>
      <sz val="11"/>
      <color theme="1"/>
      <name val="Cambria"/>
      <family val="1"/>
    </font>
    <font>
      <sz val="14"/>
      <color theme="1"/>
      <name val="Cambria"/>
      <family val="1"/>
    </font>
    <font>
      <sz val="6"/>
      <color theme="1"/>
      <name val="Cambria"/>
      <family val="1"/>
    </font>
    <font>
      <b/>
      <sz val="9"/>
      <color indexed="81"/>
      <name val="Tahoma"/>
      <family val="2"/>
    </font>
    <font>
      <b/>
      <sz val="11"/>
      <color theme="1"/>
      <name val="Cambria"/>
      <family val="1"/>
    </font>
    <font>
      <b/>
      <sz val="14"/>
      <color theme="1"/>
      <name val="Calibri Light"/>
      <family val="2"/>
    </font>
    <font>
      <b/>
      <sz val="16"/>
      <color theme="1"/>
      <name val="Calibri Light"/>
      <family val="2"/>
    </font>
    <font>
      <b/>
      <sz val="18"/>
      <color theme="1"/>
      <name val="Calibri Light"/>
      <family val="2"/>
    </font>
    <font>
      <sz val="12"/>
      <color theme="1"/>
      <name val="Calibri Light"/>
      <family val="2"/>
      <scheme val="major"/>
    </font>
    <font>
      <sz val="10"/>
      <color rgb="FFFF0000"/>
      <name val="Calibri Light"/>
      <family val="2"/>
      <scheme val="major"/>
    </font>
    <font>
      <sz val="8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9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/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/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slantDashDot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slantDashDot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slantDashDot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slantDashDot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slantDashDot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slantDashDot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double">
        <color indexed="64"/>
      </bottom>
      <diagonal/>
    </border>
    <border>
      <left style="slantDashDot">
        <color indexed="64"/>
      </left>
      <right style="slantDashDot">
        <color indexed="64"/>
      </right>
      <top style="double">
        <color indexed="64"/>
      </top>
      <bottom style="double">
        <color indexed="64"/>
      </bottom>
      <diagonal/>
    </border>
    <border>
      <left style="slantDashDot">
        <color indexed="64"/>
      </left>
      <right style="slantDashDot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DashDot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slantDash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slantDashDot">
        <color indexed="64"/>
      </right>
      <top style="thin">
        <color indexed="64"/>
      </top>
      <bottom style="double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9">
    <xf numFmtId="0" fontId="0" fillId="0" borderId="0" xfId="0"/>
    <xf numFmtId="49" fontId="0" fillId="0" borderId="0" xfId="0" applyNumberFormat="1"/>
    <xf numFmtId="0" fontId="5" fillId="0" borderId="0" xfId="0" applyFont="1"/>
    <xf numFmtId="0" fontId="5" fillId="0" borderId="31" xfId="0" applyFont="1" applyBorder="1"/>
    <xf numFmtId="0" fontId="5" fillId="0" borderId="32" xfId="0" applyFont="1" applyBorder="1"/>
    <xf numFmtId="0" fontId="5" fillId="0" borderId="38" xfId="0" applyFont="1" applyBorder="1"/>
    <xf numFmtId="0" fontId="5" fillId="0" borderId="33" xfId="0" applyFont="1" applyBorder="1"/>
    <xf numFmtId="164" fontId="6" fillId="0" borderId="0" xfId="0" applyNumberFormat="1" applyFont="1"/>
    <xf numFmtId="164" fontId="6" fillId="0" borderId="0" xfId="0" quotePrefix="1" applyNumberFormat="1" applyFont="1"/>
    <xf numFmtId="0" fontId="7" fillId="0" borderId="0" xfId="0" quotePrefix="1" applyFont="1"/>
    <xf numFmtId="0" fontId="5" fillId="0" borderId="37" xfId="0" applyFont="1" applyBorder="1"/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164" fontId="10" fillId="0" borderId="64" xfId="0" applyNumberFormat="1" applyFont="1" applyBorder="1" applyAlignment="1" applyProtection="1">
      <alignment horizontal="center" vertical="center" shrinkToFit="1"/>
      <protection locked="0"/>
    </xf>
    <xf numFmtId="0" fontId="5" fillId="0" borderId="65" xfId="0" applyFont="1" applyBorder="1" applyAlignment="1">
      <alignment horizontal="center" vertical="center"/>
    </xf>
    <xf numFmtId="164" fontId="10" fillId="0" borderId="66" xfId="0" applyNumberFormat="1" applyFont="1" applyBorder="1" applyAlignment="1" applyProtection="1">
      <alignment horizontal="center" vertical="center" shrinkToFit="1"/>
      <protection locked="0"/>
    </xf>
    <xf numFmtId="0" fontId="5" fillId="0" borderId="67" xfId="0" applyFont="1" applyBorder="1" applyAlignment="1">
      <alignment horizontal="center" vertical="center"/>
    </xf>
    <xf numFmtId="164" fontId="10" fillId="0" borderId="36" xfId="0" applyNumberFormat="1" applyFont="1" applyBorder="1" applyAlignment="1" applyProtection="1">
      <alignment horizontal="center" vertical="center" shrinkToFit="1"/>
      <protection locked="0"/>
    </xf>
    <xf numFmtId="0" fontId="5" fillId="0" borderId="34" xfId="0" applyFont="1" applyBorder="1"/>
    <xf numFmtId="0" fontId="5" fillId="0" borderId="35" xfId="0" applyFont="1" applyBorder="1"/>
    <xf numFmtId="0" fontId="5" fillId="0" borderId="27" xfId="0" applyFont="1" applyBorder="1" applyAlignment="1">
      <alignment horizontal="center" vertical="center"/>
    </xf>
    <xf numFmtId="0" fontId="10" fillId="0" borderId="77" xfId="0" applyFont="1" applyBorder="1" applyAlignment="1" applyProtection="1">
      <alignment horizontal="center" vertical="center" shrinkToFit="1"/>
      <protection locked="0"/>
    </xf>
    <xf numFmtId="0" fontId="10" fillId="0" borderId="78" xfId="0" applyFont="1" applyBorder="1" applyAlignment="1" applyProtection="1">
      <alignment horizontal="center" vertical="center" shrinkToFit="1"/>
      <protection locked="0"/>
    </xf>
    <xf numFmtId="0" fontId="10" fillId="0" borderId="79" xfId="0" applyFont="1" applyBorder="1" applyAlignment="1" applyProtection="1">
      <alignment horizontal="center" vertical="center" shrinkToFit="1"/>
      <protection locked="0"/>
    </xf>
    <xf numFmtId="0" fontId="18" fillId="0" borderId="0" xfId="0" applyFont="1" applyAlignment="1">
      <alignment horizontal="center" vertical="center"/>
    </xf>
    <xf numFmtId="0" fontId="4" fillId="0" borderId="56" xfId="0" applyFont="1" applyBorder="1" applyAlignment="1" applyProtection="1">
      <alignment horizontal="center" vertical="center" shrinkToFit="1"/>
      <protection locked="0"/>
    </xf>
    <xf numFmtId="0" fontId="4" fillId="0" borderId="57" xfId="0" applyFont="1" applyBorder="1" applyAlignment="1" applyProtection="1">
      <alignment horizontal="center" vertical="center" shrinkToFit="1"/>
      <protection locked="0"/>
    </xf>
    <xf numFmtId="0" fontId="4" fillId="0" borderId="58" xfId="0" applyFont="1" applyBorder="1" applyAlignment="1" applyProtection="1">
      <alignment horizontal="center" vertical="center" shrinkToFit="1"/>
      <protection locked="0"/>
    </xf>
    <xf numFmtId="0" fontId="4" fillId="0" borderId="59" xfId="0" applyFont="1" applyBorder="1" applyAlignment="1" applyProtection="1">
      <alignment horizontal="center" vertical="center" shrinkToFit="1"/>
      <protection locked="0"/>
    </xf>
    <xf numFmtId="0" fontId="4" fillId="0" borderId="46" xfId="0" applyFont="1" applyBorder="1" applyAlignment="1" applyProtection="1">
      <alignment horizontal="center" vertical="center" shrinkToFit="1"/>
      <protection locked="0"/>
    </xf>
    <xf numFmtId="0" fontId="0" fillId="0" borderId="34" xfId="0" applyBorder="1" applyAlignment="1" applyProtection="1">
      <alignment vertical="center"/>
      <protection locked="0"/>
    </xf>
    <xf numFmtId="0" fontId="0" fillId="0" borderId="35" xfId="0" applyBorder="1" applyAlignment="1" applyProtection="1">
      <alignment vertical="center"/>
      <protection locked="0"/>
    </xf>
    <xf numFmtId="0" fontId="0" fillId="0" borderId="41" xfId="0" applyBorder="1" applyAlignment="1" applyProtection="1">
      <alignment vertical="center"/>
      <protection locked="0"/>
    </xf>
    <xf numFmtId="0" fontId="0" fillId="0" borderId="46" xfId="0" applyBorder="1" applyAlignment="1" applyProtection="1">
      <alignment vertical="center"/>
      <protection locked="0"/>
    </xf>
    <xf numFmtId="0" fontId="17" fillId="0" borderId="6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8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7" fillId="0" borderId="43" xfId="0" applyFont="1" applyBorder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 vertical="center"/>
      <protection locked="0"/>
    </xf>
    <xf numFmtId="0" fontId="17" fillId="0" borderId="14" xfId="0" applyFont="1" applyBorder="1" applyAlignment="1" applyProtection="1">
      <alignment horizontal="center" vertical="center"/>
      <protection locked="0"/>
    </xf>
    <xf numFmtId="0" fontId="17" fillId="0" borderId="44" xfId="0" applyFont="1" applyBorder="1" applyAlignment="1" applyProtection="1">
      <alignment horizontal="center" vertical="center"/>
      <protection locked="0"/>
    </xf>
    <xf numFmtId="0" fontId="17" fillId="0" borderId="16" xfId="0" applyFont="1" applyBorder="1" applyAlignment="1" applyProtection="1">
      <alignment horizontal="center" vertical="center"/>
      <protection locked="0"/>
    </xf>
    <xf numFmtId="0" fontId="17" fillId="0" borderId="49" xfId="0" applyFont="1" applyBorder="1" applyAlignment="1" applyProtection="1">
      <alignment horizontal="center" vertical="center"/>
      <protection locked="0"/>
    </xf>
    <xf numFmtId="0" fontId="17" fillId="0" borderId="29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40" xfId="0" applyFont="1" applyBorder="1" applyAlignment="1" applyProtection="1">
      <alignment horizontal="center" vertical="center"/>
      <protection locked="0"/>
    </xf>
    <xf numFmtId="0" fontId="17" fillId="0" borderId="45" xfId="0" applyFont="1" applyBorder="1" applyAlignment="1" applyProtection="1">
      <alignment horizontal="center" vertical="center"/>
      <protection locked="0"/>
    </xf>
    <xf numFmtId="9" fontId="0" fillId="0" borderId="81" xfId="1" applyFont="1" applyBorder="1" applyAlignment="1" applyProtection="1">
      <alignment horizontal="center" vertical="center"/>
      <protection locked="0"/>
    </xf>
    <xf numFmtId="9" fontId="0" fillId="0" borderId="22" xfId="1" applyFont="1" applyBorder="1" applyAlignment="1" applyProtection="1">
      <alignment horizontal="center" vertical="center"/>
      <protection locked="0"/>
    </xf>
    <xf numFmtId="9" fontId="0" fillId="0" borderId="82" xfId="1" applyFont="1" applyBorder="1" applyAlignment="1" applyProtection="1">
      <alignment horizontal="center" vertical="center"/>
      <protection locked="0"/>
    </xf>
    <xf numFmtId="9" fontId="0" fillId="0" borderId="20" xfId="1" applyFont="1" applyBorder="1" applyAlignment="1" applyProtection="1">
      <alignment horizontal="center" vertical="center"/>
      <protection locked="0"/>
    </xf>
    <xf numFmtId="9" fontId="0" fillId="0" borderId="80" xfId="1" applyFont="1" applyBorder="1" applyAlignment="1" applyProtection="1">
      <alignment horizontal="center" vertical="center"/>
      <protection locked="0"/>
    </xf>
    <xf numFmtId="9" fontId="0" fillId="0" borderId="25" xfId="1" applyFont="1" applyBorder="1" applyAlignment="1" applyProtection="1">
      <alignment horizontal="center" vertical="center"/>
      <protection locked="0"/>
    </xf>
    <xf numFmtId="0" fontId="17" fillId="0" borderId="8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0" fontId="17" fillId="0" borderId="13" xfId="0" applyFont="1" applyBorder="1" applyAlignment="1" applyProtection="1">
      <alignment horizontal="left" vertical="center" shrinkToFit="1"/>
      <protection locked="0"/>
    </xf>
    <xf numFmtId="0" fontId="17" fillId="0" borderId="2" xfId="0" applyFont="1" applyBorder="1" applyAlignment="1" applyProtection="1">
      <alignment horizontal="left" vertical="center" shrinkToFit="1"/>
      <protection locked="0"/>
    </xf>
    <xf numFmtId="0" fontId="17" fillId="0" borderId="14" xfId="0" applyFont="1" applyBorder="1" applyAlignment="1" applyProtection="1">
      <alignment horizontal="left" vertical="center" shrinkToFit="1"/>
      <protection locked="0"/>
    </xf>
    <xf numFmtId="49" fontId="17" fillId="0" borderId="13" xfId="0" applyNumberFormat="1" applyFont="1" applyBorder="1" applyAlignment="1" applyProtection="1">
      <alignment horizontal="center" vertical="center" shrinkToFit="1"/>
      <protection locked="0"/>
    </xf>
    <xf numFmtId="49" fontId="17" fillId="0" borderId="2" xfId="0" applyNumberFormat="1" applyFont="1" applyBorder="1" applyAlignment="1" applyProtection="1">
      <alignment horizontal="center" vertical="center" shrinkToFit="1"/>
      <protection locked="0"/>
    </xf>
    <xf numFmtId="49" fontId="17" fillId="0" borderId="14" xfId="0" applyNumberFormat="1" applyFont="1" applyBorder="1" applyAlignment="1" applyProtection="1">
      <alignment horizontal="center" vertical="center" shrinkToFit="1"/>
      <protection locked="0"/>
    </xf>
    <xf numFmtId="0" fontId="20" fillId="0" borderId="43" xfId="0" applyFont="1" applyBorder="1" applyAlignment="1">
      <alignment horizontal="center" vertical="center"/>
    </xf>
    <xf numFmtId="0" fontId="4" fillId="0" borderId="97" xfId="0" applyFont="1" applyBorder="1" applyAlignment="1" applyProtection="1">
      <alignment horizontal="center" vertical="center" shrinkToFit="1"/>
      <protection locked="0"/>
    </xf>
    <xf numFmtId="0" fontId="4" fillId="0" borderId="98" xfId="0" applyFont="1" applyBorder="1" applyAlignment="1" applyProtection="1">
      <alignment horizontal="center" vertical="center" shrinkToFit="1"/>
      <protection locked="0"/>
    </xf>
    <xf numFmtId="0" fontId="0" fillId="0" borderId="99" xfId="0" applyBorder="1" applyAlignment="1" applyProtection="1">
      <alignment vertical="center"/>
      <protection locked="0"/>
    </xf>
    <xf numFmtId="0" fontId="17" fillId="0" borderId="100" xfId="0" applyFont="1" applyBorder="1" applyAlignment="1" applyProtection="1">
      <alignment horizontal="center" vertical="center"/>
      <protection locked="0"/>
    </xf>
    <xf numFmtId="0" fontId="17" fillId="0" borderId="101" xfId="0" applyFont="1" applyBorder="1" applyAlignment="1" applyProtection="1">
      <alignment horizontal="center" vertical="center"/>
      <protection locked="0"/>
    </xf>
    <xf numFmtId="0" fontId="17" fillId="0" borderId="102" xfId="0" applyFont="1" applyBorder="1" applyAlignment="1" applyProtection="1">
      <alignment horizontal="center" vertical="center"/>
      <protection locked="0"/>
    </xf>
    <xf numFmtId="49" fontId="17" fillId="0" borderId="95" xfId="0" applyNumberFormat="1" applyFont="1" applyBorder="1" applyAlignment="1" applyProtection="1">
      <alignment horizontal="center" vertical="center" shrinkToFit="1"/>
      <protection locked="0"/>
    </xf>
    <xf numFmtId="0" fontId="17" fillId="0" borderId="95" xfId="0" applyFont="1" applyBorder="1" applyAlignment="1" applyProtection="1">
      <alignment horizontal="left" vertical="center" shrinkToFit="1"/>
      <protection locked="0"/>
    </xf>
    <xf numFmtId="0" fontId="17" fillId="0" borderId="94" xfId="0" applyFont="1" applyBorder="1" applyAlignment="1" applyProtection="1">
      <alignment horizontal="center" vertical="center"/>
      <protection locked="0"/>
    </xf>
    <xf numFmtId="0" fontId="17" fillId="0" borderId="95" xfId="0" applyFont="1" applyBorder="1" applyAlignment="1" applyProtection="1">
      <alignment horizontal="center" vertical="center"/>
      <protection locked="0"/>
    </xf>
    <xf numFmtId="0" fontId="17" fillId="0" borderId="106" xfId="0" applyFont="1" applyBorder="1" applyAlignment="1" applyProtection="1">
      <alignment horizontal="center" vertical="center"/>
      <protection locked="0"/>
    </xf>
    <xf numFmtId="0" fontId="17" fillId="0" borderId="105" xfId="0" applyFont="1" applyBorder="1" applyAlignment="1" applyProtection="1">
      <alignment horizontal="center" vertical="center"/>
      <protection locked="0"/>
    </xf>
    <xf numFmtId="0" fontId="17" fillId="0" borderId="108" xfId="0" applyFont="1" applyBorder="1" applyAlignment="1" applyProtection="1">
      <alignment horizontal="center" vertical="center"/>
      <protection locked="0"/>
    </xf>
    <xf numFmtId="0" fontId="17" fillId="0" borderId="109" xfId="0" applyFont="1" applyBorder="1" applyAlignment="1" applyProtection="1">
      <alignment horizontal="center" vertical="center"/>
      <protection locked="0"/>
    </xf>
    <xf numFmtId="49" fontId="17" fillId="0" borderId="96" xfId="0" applyNumberFormat="1" applyFont="1" applyBorder="1" applyAlignment="1" applyProtection="1">
      <alignment horizontal="center" vertical="center" shrinkToFit="1"/>
      <protection locked="0"/>
    </xf>
    <xf numFmtId="0" fontId="17" fillId="0" borderId="96" xfId="0" applyFont="1" applyBorder="1" applyAlignment="1" applyProtection="1">
      <alignment horizontal="left" vertical="center" shrinkToFit="1"/>
      <protection locked="0"/>
    </xf>
    <xf numFmtId="0" fontId="17" fillId="0" borderId="110" xfId="0" applyFont="1" applyBorder="1" applyAlignment="1" applyProtection="1">
      <alignment horizontal="center" vertical="center"/>
      <protection locked="0"/>
    </xf>
    <xf numFmtId="0" fontId="17" fillId="0" borderId="96" xfId="0" applyFont="1" applyBorder="1" applyAlignment="1" applyProtection="1">
      <alignment horizontal="center" vertical="center"/>
      <protection locked="0"/>
    </xf>
    <xf numFmtId="0" fontId="17" fillId="0" borderId="113" xfId="0" applyFont="1" applyBorder="1" applyAlignment="1" applyProtection="1">
      <alignment horizontal="center" vertical="center"/>
      <protection locked="0"/>
    </xf>
    <xf numFmtId="0" fontId="17" fillId="0" borderId="112" xfId="0" applyFont="1" applyBorder="1" applyAlignment="1" applyProtection="1">
      <alignment horizontal="center" vertical="center"/>
      <protection locked="0"/>
    </xf>
    <xf numFmtId="0" fontId="17" fillId="0" borderId="116" xfId="0" applyFont="1" applyBorder="1" applyAlignment="1" applyProtection="1">
      <alignment horizontal="center" vertical="center"/>
      <protection locked="0"/>
    </xf>
    <xf numFmtId="0" fontId="17" fillId="0" borderId="117" xfId="0" applyFont="1" applyBorder="1" applyAlignment="1" applyProtection="1">
      <alignment horizontal="center" vertical="center"/>
      <protection locked="0"/>
    </xf>
    <xf numFmtId="0" fontId="20" fillId="0" borderId="113" xfId="0" applyFont="1" applyBorder="1" applyAlignment="1">
      <alignment horizontal="center" vertical="center"/>
    </xf>
    <xf numFmtId="0" fontId="17" fillId="0" borderId="110" xfId="0" applyFont="1" applyBorder="1" applyAlignment="1">
      <alignment vertical="center"/>
    </xf>
    <xf numFmtId="0" fontId="17" fillId="0" borderId="121" xfId="0" applyFont="1" applyBorder="1" applyAlignment="1" applyProtection="1">
      <alignment horizontal="center" vertical="center"/>
      <protection locked="0"/>
    </xf>
    <xf numFmtId="0" fontId="20" fillId="0" borderId="123" xfId="0" applyFont="1" applyBorder="1" applyAlignment="1">
      <alignment horizontal="center" vertical="center"/>
    </xf>
    <xf numFmtId="0" fontId="20" fillId="0" borderId="124" xfId="0" applyFont="1" applyBorder="1" applyAlignment="1">
      <alignment horizontal="center" vertical="center"/>
    </xf>
    <xf numFmtId="0" fontId="17" fillId="0" borderId="122" xfId="0" applyFont="1" applyBorder="1" applyAlignment="1" applyProtection="1">
      <alignment horizontal="center" vertical="center" shrinkToFit="1"/>
      <protection locked="0"/>
    </xf>
    <xf numFmtId="0" fontId="17" fillId="0" borderId="123" xfId="0" applyFont="1" applyBorder="1" applyAlignment="1" applyProtection="1">
      <alignment horizontal="center" vertical="center" shrinkToFit="1"/>
      <protection locked="0"/>
    </xf>
    <xf numFmtId="0" fontId="17" fillId="0" borderId="124" xfId="0" applyFont="1" applyBorder="1" applyAlignment="1" applyProtection="1">
      <alignment horizontal="center" vertical="center" shrinkToFit="1"/>
      <protection locked="0"/>
    </xf>
    <xf numFmtId="0" fontId="17" fillId="0" borderId="125" xfId="0" applyFont="1" applyBorder="1" applyAlignment="1" applyProtection="1">
      <alignment horizontal="center" vertical="center" shrinkToFit="1"/>
      <protection locked="0"/>
    </xf>
    <xf numFmtId="0" fontId="17" fillId="0" borderId="127" xfId="0" applyFont="1" applyBorder="1" applyAlignment="1" applyProtection="1">
      <alignment horizontal="center" vertical="center" shrinkToFit="1"/>
      <protection locked="0"/>
    </xf>
    <xf numFmtId="0" fontId="17" fillId="0" borderId="128" xfId="0" applyFont="1" applyBorder="1" applyAlignment="1" applyProtection="1">
      <alignment horizontal="center" vertical="center" shrinkToFit="1"/>
      <protection locked="0"/>
    </xf>
    <xf numFmtId="0" fontId="17" fillId="0" borderId="129" xfId="0" applyFont="1" applyBorder="1" applyAlignment="1" applyProtection="1">
      <alignment horizontal="center" vertical="center" shrinkToFit="1"/>
      <protection locked="0"/>
    </xf>
    <xf numFmtId="0" fontId="17" fillId="0" borderId="130" xfId="0" applyFont="1" applyBorder="1" applyAlignment="1" applyProtection="1">
      <alignment horizontal="center" vertical="center" shrinkToFit="1"/>
      <protection locked="0"/>
    </xf>
    <xf numFmtId="0" fontId="17" fillId="0" borderId="131" xfId="0" applyFont="1" applyBorder="1" applyAlignment="1" applyProtection="1">
      <alignment horizontal="center" vertical="center" shrinkToFit="1"/>
      <protection locked="0"/>
    </xf>
    <xf numFmtId="0" fontId="17" fillId="0" borderId="132" xfId="0" applyFont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3" fillId="0" borderId="1" xfId="0" applyFont="1" applyBorder="1" applyAlignment="1">
      <alignment horizontal="left" vertical="center" shrinkToFit="1"/>
    </xf>
    <xf numFmtId="0" fontId="4" fillId="0" borderId="84" xfId="0" applyFont="1" applyBorder="1" applyAlignment="1">
      <alignment horizontal="center" vertical="center" wrapText="1" shrinkToFit="1"/>
    </xf>
    <xf numFmtId="0" fontId="4" fillId="0" borderId="85" xfId="0" applyFont="1" applyBorder="1" applyAlignment="1">
      <alignment horizontal="center" vertical="center" wrapText="1" shrinkToFit="1"/>
    </xf>
    <xf numFmtId="0" fontId="4" fillId="0" borderId="103" xfId="0" applyFont="1" applyBorder="1" applyAlignment="1">
      <alignment horizontal="center" vertical="center" wrapText="1" shrinkToFit="1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5" xfId="0" applyBorder="1" applyAlignment="1">
      <alignment horizontal="left" vertical="center"/>
    </xf>
    <xf numFmtId="0" fontId="0" fillId="0" borderId="99" xfId="0" applyBorder="1" applyAlignment="1">
      <alignment vertical="center"/>
    </xf>
    <xf numFmtId="0" fontId="0" fillId="0" borderId="98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6" xfId="0" applyFont="1" applyBorder="1" applyAlignment="1">
      <alignment vertical="center"/>
    </xf>
    <xf numFmtId="2" fontId="17" fillId="0" borderId="15" xfId="0" applyNumberFormat="1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122" xfId="0" applyFont="1" applyBorder="1" applyAlignment="1">
      <alignment horizontal="center" vertical="center"/>
    </xf>
    <xf numFmtId="0" fontId="9" fillId="0" borderId="1" xfId="0" applyFont="1" applyBorder="1" applyAlignment="1">
      <alignment vertical="center" shrinkToFit="1"/>
    </xf>
    <xf numFmtId="2" fontId="17" fillId="0" borderId="5" xfId="0" applyNumberFormat="1" applyFont="1" applyBorder="1" applyAlignment="1">
      <alignment horizontal="center" vertical="center"/>
    </xf>
    <xf numFmtId="2" fontId="17" fillId="0" borderId="112" xfId="0" applyNumberFormat="1" applyFont="1" applyBorder="1" applyAlignment="1">
      <alignment horizontal="center" vertical="center"/>
    </xf>
    <xf numFmtId="0" fontId="17" fillId="0" borderId="94" xfId="0" applyFont="1" applyBorder="1" applyAlignment="1">
      <alignment vertical="center"/>
    </xf>
    <xf numFmtId="2" fontId="17" fillId="0" borderId="105" xfId="0" applyNumberFormat="1" applyFont="1" applyBorder="1" applyAlignment="1">
      <alignment horizontal="center" vertical="center"/>
    </xf>
    <xf numFmtId="0" fontId="20" fillId="0" borderId="106" xfId="0" applyFont="1" applyBorder="1" applyAlignment="1">
      <alignment horizontal="center" vertical="center"/>
    </xf>
    <xf numFmtId="0" fontId="20" fillId="0" borderId="125" xfId="0" applyFont="1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9" fontId="0" fillId="0" borderId="28" xfId="1" applyFont="1" applyBorder="1" applyAlignment="1" applyProtection="1">
      <alignment horizontal="center" vertical="center"/>
    </xf>
    <xf numFmtId="9" fontId="0" fillId="0" borderId="3" xfId="1" applyFont="1" applyBorder="1" applyAlignment="1" applyProtection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64" fontId="0" fillId="0" borderId="61" xfId="0" applyNumberForma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62" xfId="0" applyBorder="1" applyAlignment="1">
      <alignment horizontal="center" vertical="center"/>
    </xf>
    <xf numFmtId="164" fontId="0" fillId="0" borderId="62" xfId="0" applyNumberFormat="1" applyBorder="1" applyAlignment="1">
      <alignment horizontal="center" vertical="center"/>
    </xf>
    <xf numFmtId="2" fontId="17" fillId="0" borderId="29" xfId="0" applyNumberFormat="1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126" xfId="0" applyFont="1" applyBorder="1" applyAlignment="1">
      <alignment horizontal="center" vertical="center"/>
    </xf>
    <xf numFmtId="0" fontId="17" fillId="0" borderId="119" xfId="0" applyFont="1" applyBorder="1" applyAlignment="1" applyProtection="1">
      <alignment horizontal="center" vertical="center" shrinkToFit="1"/>
      <protection locked="0"/>
    </xf>
    <xf numFmtId="0" fontId="17" fillId="0" borderId="20" xfId="0" applyFont="1" applyBorder="1" applyAlignment="1" applyProtection="1">
      <alignment horizontal="center" vertical="center" shrinkToFit="1"/>
      <protection locked="0"/>
    </xf>
    <xf numFmtId="0" fontId="17" fillId="0" borderId="120" xfId="0" applyFont="1" applyBorder="1" applyAlignment="1" applyProtection="1">
      <alignment horizontal="center" vertical="center" shrinkToFit="1"/>
      <protection locked="0"/>
    </xf>
    <xf numFmtId="0" fontId="17" fillId="0" borderId="18" xfId="0" applyFont="1" applyBorder="1" applyAlignment="1" applyProtection="1">
      <alignment horizontal="center" vertical="center" shrinkToFit="1"/>
      <protection locked="0"/>
    </xf>
    <xf numFmtId="0" fontId="17" fillId="0" borderId="4" xfId="0" applyFont="1" applyBorder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30" xfId="0" applyFont="1" applyBorder="1" applyAlignment="1">
      <alignment vertical="center"/>
    </xf>
    <xf numFmtId="0" fontId="17" fillId="0" borderId="60" xfId="0" applyFont="1" applyBorder="1" applyAlignment="1">
      <alignment vertical="center"/>
    </xf>
    <xf numFmtId="0" fontId="17" fillId="0" borderId="50" xfId="0" applyFont="1" applyBorder="1" applyAlignment="1">
      <alignment vertical="center"/>
    </xf>
    <xf numFmtId="0" fontId="17" fillId="0" borderId="114" xfId="0" applyFont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0" borderId="92" xfId="0" applyFont="1" applyBorder="1" applyAlignment="1">
      <alignment vertical="center"/>
    </xf>
    <xf numFmtId="9" fontId="20" fillId="0" borderId="50" xfId="0" applyNumberFormat="1" applyFont="1" applyBorder="1" applyAlignment="1">
      <alignment vertical="center"/>
    </xf>
    <xf numFmtId="9" fontId="20" fillId="0" borderId="1" xfId="0" applyNumberFormat="1" applyFont="1" applyBorder="1" applyAlignment="1">
      <alignment vertical="center"/>
    </xf>
    <xf numFmtId="9" fontId="20" fillId="0" borderId="17" xfId="0" applyNumberFormat="1" applyFont="1" applyBorder="1" applyAlignment="1">
      <alignment vertical="center"/>
    </xf>
    <xf numFmtId="9" fontId="20" fillId="0" borderId="60" xfId="0" applyNumberFormat="1" applyFont="1" applyBorder="1" applyAlignment="1">
      <alignment vertical="center"/>
    </xf>
    <xf numFmtId="9" fontId="20" fillId="0" borderId="114" xfId="0" applyNumberFormat="1" applyFont="1" applyBorder="1" applyAlignment="1">
      <alignment vertical="center"/>
    </xf>
    <xf numFmtId="0" fontId="17" fillId="0" borderId="55" xfId="0" applyFont="1" applyBorder="1" applyAlignment="1">
      <alignment vertical="center"/>
    </xf>
    <xf numFmtId="0" fontId="17" fillId="0" borderId="90" xfId="0" applyFont="1" applyBorder="1" applyAlignment="1">
      <alignment vertical="center"/>
    </xf>
    <xf numFmtId="0" fontId="17" fillId="0" borderId="115" xfId="0" applyFont="1" applyBorder="1" applyAlignment="1">
      <alignment vertical="center"/>
    </xf>
    <xf numFmtId="0" fontId="17" fillId="0" borderId="107" xfId="0" applyFont="1" applyBorder="1" applyAlignment="1">
      <alignment vertical="center"/>
    </xf>
    <xf numFmtId="0" fontId="17" fillId="0" borderId="91" xfId="0" applyFont="1" applyBorder="1" applyAlignment="1">
      <alignment vertical="center"/>
    </xf>
    <xf numFmtId="0" fontId="17" fillId="0" borderId="15" xfId="0" applyFont="1" applyBorder="1" applyAlignment="1">
      <alignment vertical="center"/>
    </xf>
    <xf numFmtId="0" fontId="17" fillId="0" borderId="13" xfId="0" applyFont="1" applyBorder="1" applyAlignment="1">
      <alignment vertical="center"/>
    </xf>
    <xf numFmtId="0" fontId="17" fillId="0" borderId="87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112" xfId="0" applyFont="1" applyBorder="1" applyAlignment="1">
      <alignment vertical="center"/>
    </xf>
    <xf numFmtId="0" fontId="17" fillId="0" borderId="96" xfId="0" applyFont="1" applyBorder="1" applyAlignment="1">
      <alignment vertical="center"/>
    </xf>
    <xf numFmtId="0" fontId="17" fillId="0" borderId="111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95" xfId="0" applyFont="1" applyBorder="1" applyAlignment="1">
      <alignment vertical="center"/>
    </xf>
    <xf numFmtId="0" fontId="17" fillId="0" borderId="29" xfId="0" applyFont="1" applyBorder="1" applyAlignment="1">
      <alignment vertical="center"/>
    </xf>
    <xf numFmtId="0" fontId="17" fillId="0" borderId="23" xfId="0" applyFont="1" applyBorder="1" applyAlignment="1">
      <alignment vertical="center"/>
    </xf>
    <xf numFmtId="0" fontId="17" fillId="0" borderId="42" xfId="0" applyFont="1" applyBorder="1" applyAlignment="1">
      <alignment vertical="center"/>
    </xf>
    <xf numFmtId="0" fontId="17" fillId="0" borderId="43" xfId="0" applyFont="1" applyBorder="1" applyAlignment="1">
      <alignment vertical="center"/>
    </xf>
    <xf numFmtId="0" fontId="17" fillId="0" borderId="113" xfId="0" applyFont="1" applyBorder="1" applyAlignment="1">
      <alignment vertical="center"/>
    </xf>
    <xf numFmtId="0" fontId="17" fillId="0" borderId="106" xfId="0" applyFont="1" applyBorder="1" applyAlignment="1">
      <alignment vertical="center"/>
    </xf>
    <xf numFmtId="0" fontId="17" fillId="0" borderId="40" xfId="0" applyFont="1" applyBorder="1" applyAlignment="1">
      <alignment vertical="center"/>
    </xf>
    <xf numFmtId="0" fontId="17" fillId="0" borderId="93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9" fontId="0" fillId="0" borderId="82" xfId="1" applyFont="1" applyBorder="1" applyAlignment="1" applyProtection="1">
      <alignment horizontal="center" vertical="center"/>
    </xf>
    <xf numFmtId="0" fontId="8" fillId="0" borderId="0" xfId="0" applyFont="1" applyAlignment="1">
      <alignment horizontal="center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5" fillId="2" borderId="2" xfId="0" quotePrefix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10" fillId="0" borderId="68" xfId="0" applyFont="1" applyBorder="1" applyAlignment="1" applyProtection="1">
      <alignment horizontal="center" vertical="center" shrinkToFit="1"/>
      <protection locked="0"/>
    </xf>
    <xf numFmtId="0" fontId="10" fillId="0" borderId="69" xfId="0" applyFont="1" applyBorder="1" applyAlignment="1" applyProtection="1">
      <alignment horizontal="center" vertical="center" shrinkToFit="1"/>
      <protection locked="0"/>
    </xf>
    <xf numFmtId="0" fontId="10" fillId="0" borderId="70" xfId="0" applyFont="1" applyBorder="1" applyAlignment="1" applyProtection="1">
      <alignment horizontal="center" vertical="center" shrinkToFi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10" fillId="0" borderId="71" xfId="0" applyFont="1" applyBorder="1" applyAlignment="1" applyProtection="1">
      <alignment horizontal="center" vertical="center" shrinkToFit="1"/>
      <protection locked="0"/>
    </xf>
    <xf numFmtId="0" fontId="10" fillId="0" borderId="72" xfId="0" applyFont="1" applyBorder="1" applyAlignment="1" applyProtection="1">
      <alignment horizontal="center" vertical="center" shrinkToFit="1"/>
      <protection locked="0"/>
    </xf>
    <xf numFmtId="0" fontId="10" fillId="0" borderId="73" xfId="0" applyFont="1" applyBorder="1" applyAlignment="1" applyProtection="1">
      <alignment horizontal="center" vertical="center" shrinkToFit="1"/>
      <protection locked="0"/>
    </xf>
    <xf numFmtId="0" fontId="11" fillId="0" borderId="35" xfId="0" applyFont="1" applyBorder="1" applyAlignment="1">
      <alignment horizontal="right"/>
    </xf>
    <xf numFmtId="0" fontId="11" fillId="0" borderId="36" xfId="0" applyFont="1" applyBorder="1" applyAlignment="1">
      <alignment horizontal="right"/>
    </xf>
    <xf numFmtId="0" fontId="5" fillId="0" borderId="39" xfId="0" applyFont="1" applyBorder="1" applyAlignment="1">
      <alignment horizontal="center" vertical="center"/>
    </xf>
    <xf numFmtId="0" fontId="10" fillId="0" borderId="74" xfId="0" applyFont="1" applyBorder="1" applyAlignment="1" applyProtection="1">
      <alignment horizontal="center" vertical="center" shrinkToFit="1"/>
      <protection locked="0"/>
    </xf>
    <xf numFmtId="0" fontId="10" fillId="0" borderId="75" xfId="0" applyFont="1" applyBorder="1" applyAlignment="1" applyProtection="1">
      <alignment horizontal="center" vertical="center" shrinkToFit="1"/>
      <protection locked="0"/>
    </xf>
    <xf numFmtId="0" fontId="10" fillId="0" borderId="76" xfId="0" applyFont="1" applyBorder="1" applyAlignment="1" applyProtection="1">
      <alignment horizontal="center" vertical="center" shrinkToFit="1"/>
      <protection locked="0"/>
    </xf>
    <xf numFmtId="0" fontId="4" fillId="0" borderId="136" xfId="0" applyFont="1" applyBorder="1" applyAlignment="1">
      <alignment horizontal="center" vertical="center" shrinkToFit="1"/>
    </xf>
    <xf numFmtId="0" fontId="4" fillId="0" borderId="137" xfId="0" applyFont="1" applyBorder="1" applyAlignment="1">
      <alignment horizontal="center" vertical="center" shrinkToFit="1"/>
    </xf>
    <xf numFmtId="0" fontId="4" fillId="0" borderId="138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left" vertical="center" shrinkToFit="1"/>
    </xf>
    <xf numFmtId="0" fontId="0" fillId="0" borderId="19" xfId="0" applyBorder="1" applyAlignment="1" applyProtection="1">
      <alignment horizontal="left" vertical="center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14" fillId="0" borderId="133" xfId="0" applyFont="1" applyBorder="1" applyAlignment="1">
      <alignment horizontal="center" vertical="center" textRotation="90" shrinkToFit="1"/>
    </xf>
    <xf numFmtId="0" fontId="14" fillId="0" borderId="134" xfId="0" applyFont="1" applyBorder="1" applyAlignment="1">
      <alignment horizontal="center" vertical="center" textRotation="90" shrinkToFit="1"/>
    </xf>
    <xf numFmtId="0" fontId="14" fillId="0" borderId="135" xfId="0" applyFont="1" applyBorder="1" applyAlignment="1">
      <alignment horizontal="center" vertical="center" textRotation="90" shrinkToFit="1"/>
    </xf>
    <xf numFmtId="164" fontId="13" fillId="0" borderId="1" xfId="0" applyNumberFormat="1" applyFont="1" applyBorder="1" applyAlignment="1">
      <alignment horizontal="left" vertical="center" shrinkToFit="1"/>
    </xf>
    <xf numFmtId="0" fontId="0" fillId="0" borderId="1" xfId="0" applyBorder="1" applyAlignment="1">
      <alignment horizontal="center" vertical="center"/>
    </xf>
    <xf numFmtId="0" fontId="3" fillId="0" borderId="17" xfId="0" applyFont="1" applyBorder="1" applyAlignment="1">
      <alignment horizontal="left" vertical="top"/>
    </xf>
    <xf numFmtId="0" fontId="0" fillId="0" borderId="19" xfId="0" applyBorder="1" applyAlignment="1" applyProtection="1">
      <alignment horizontal="left" vertical="center" shrinkToFit="1"/>
      <protection locked="0"/>
    </xf>
    <xf numFmtId="0" fontId="0" fillId="0" borderId="20" xfId="0" applyBorder="1" applyAlignment="1" applyProtection="1">
      <alignment horizontal="left" vertical="center" shrinkToFit="1"/>
      <protection locked="0"/>
    </xf>
    <xf numFmtId="0" fontId="15" fillId="0" borderId="51" xfId="0" applyFont="1" applyBorder="1" applyAlignment="1">
      <alignment horizontal="center" vertical="center" shrinkToFit="1"/>
    </xf>
    <xf numFmtId="0" fontId="15" fillId="0" borderId="52" xfId="0" applyFont="1" applyBorder="1" applyAlignment="1">
      <alignment horizontal="center" vertical="center" shrinkToFit="1"/>
    </xf>
    <xf numFmtId="0" fontId="15" fillId="0" borderId="103" xfId="0" applyFont="1" applyBorder="1" applyAlignment="1">
      <alignment horizontal="center" vertical="center" shrinkToFit="1"/>
    </xf>
    <xf numFmtId="0" fontId="4" fillId="0" borderId="89" xfId="0" applyFont="1" applyBorder="1" applyAlignment="1">
      <alignment horizontal="center" vertical="center" wrapText="1" shrinkToFit="1"/>
    </xf>
    <xf numFmtId="0" fontId="4" fillId="0" borderId="53" xfId="0" applyFont="1" applyBorder="1" applyAlignment="1">
      <alignment horizontal="center" vertical="center" wrapText="1" shrinkToFit="1"/>
    </xf>
    <xf numFmtId="0" fontId="4" fillId="0" borderId="28" xfId="0" applyFont="1" applyBorder="1" applyAlignment="1">
      <alignment horizontal="center" vertical="center" shrinkToFit="1"/>
    </xf>
    <xf numFmtId="0" fontId="4" fillId="0" borderId="89" xfId="0" applyFont="1" applyBorder="1" applyAlignment="1">
      <alignment horizontal="center" vertical="center" shrinkToFit="1"/>
    </xf>
    <xf numFmtId="0" fontId="4" fillId="0" borderId="53" xfId="0" applyFont="1" applyBorder="1" applyAlignment="1">
      <alignment horizontal="center" vertical="center" shrinkToFit="1"/>
    </xf>
    <xf numFmtId="0" fontId="15" fillId="0" borderId="88" xfId="0" applyFont="1" applyBorder="1" applyAlignment="1">
      <alignment horizontal="center" vertical="center" shrinkToFit="1"/>
    </xf>
    <xf numFmtId="0" fontId="4" fillId="0" borderId="118" xfId="0" applyFont="1" applyBorder="1" applyAlignment="1">
      <alignment horizontal="center" vertical="center" wrapText="1" shrinkToFit="1"/>
    </xf>
    <xf numFmtId="0" fontId="4" fillId="0" borderId="99" xfId="0" applyFont="1" applyBorder="1" applyAlignment="1">
      <alignment horizontal="center" vertical="center" wrapText="1" shrinkToFit="1"/>
    </xf>
    <xf numFmtId="0" fontId="4" fillId="0" borderId="86" xfId="0" applyFont="1" applyBorder="1" applyAlignment="1">
      <alignment horizontal="center" vertical="center" wrapText="1" shrinkToFit="1"/>
    </xf>
    <xf numFmtId="0" fontId="4" fillId="0" borderId="62" xfId="0" applyFont="1" applyBorder="1" applyAlignment="1">
      <alignment horizontal="center" vertical="center" wrapText="1" shrinkToFit="1"/>
    </xf>
    <xf numFmtId="0" fontId="4" fillId="0" borderId="55" xfId="0" applyFont="1" applyBorder="1" applyAlignment="1">
      <alignment horizontal="center" vertical="center" wrapText="1" shrinkToFit="1"/>
    </xf>
    <xf numFmtId="0" fontId="4" fillId="0" borderId="49" xfId="0" applyFont="1" applyBorder="1" applyAlignment="1">
      <alignment horizontal="center" vertical="center" wrapText="1" shrinkToFit="1"/>
    </xf>
    <xf numFmtId="0" fontId="0" fillId="0" borderId="2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4" fillId="0" borderId="100" xfId="0" applyFont="1" applyBorder="1" applyAlignment="1">
      <alignment horizontal="center" vertical="center" wrapText="1" shrinkToFit="1"/>
    </xf>
    <xf numFmtId="0" fontId="4" fillId="0" borderId="102" xfId="0" applyFont="1" applyBorder="1" applyAlignment="1">
      <alignment horizontal="center" vertical="center" wrapText="1" shrinkToFit="1"/>
    </xf>
    <xf numFmtId="0" fontId="4" fillId="0" borderId="28" xfId="0" applyFont="1" applyBorder="1" applyAlignment="1">
      <alignment horizontal="center" vertical="center" wrapText="1" shrinkToFit="1"/>
    </xf>
    <xf numFmtId="0" fontId="4" fillId="0" borderId="54" xfId="0" applyFont="1" applyBorder="1" applyAlignment="1">
      <alignment horizontal="center" vertical="center" wrapText="1" shrinkToFit="1"/>
    </xf>
    <xf numFmtId="0" fontId="4" fillId="0" borderId="54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right" vertical="center"/>
    </xf>
    <xf numFmtId="0" fontId="2" fillId="0" borderId="27" xfId="0" applyFont="1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16" fillId="0" borderId="6" xfId="0" applyFont="1" applyBorder="1" applyAlignment="1">
      <alignment horizontal="center" vertical="center" wrapText="1" shrinkToFit="1"/>
    </xf>
    <xf numFmtId="0" fontId="16" fillId="0" borderId="122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123" xfId="0" applyFont="1" applyBorder="1" applyAlignment="1">
      <alignment horizontal="center" vertical="center" wrapText="1" shrinkToFit="1"/>
    </xf>
    <xf numFmtId="0" fontId="16" fillId="0" borderId="10" xfId="0" applyFont="1" applyBorder="1" applyAlignment="1">
      <alignment horizontal="center" vertical="center" wrapText="1" shrinkToFit="1"/>
    </xf>
    <xf numFmtId="0" fontId="16" fillId="0" borderId="127" xfId="0" applyFont="1" applyBorder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vertical="center" wrapText="1" shrinkToFit="1"/>
    </xf>
    <xf numFmtId="0" fontId="16" fillId="0" borderId="9" xfId="0" applyFont="1" applyBorder="1" applyAlignment="1">
      <alignment horizontal="center" vertical="center" wrapText="1" shrinkToFit="1"/>
    </xf>
    <xf numFmtId="0" fontId="16" fillId="0" borderId="16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4" fillId="0" borderId="122" xfId="0" applyFont="1" applyBorder="1" applyAlignment="1">
      <alignment horizontal="center" vertical="center" shrinkToFit="1"/>
    </xf>
    <xf numFmtId="0" fontId="14" fillId="0" borderId="123" xfId="0" applyFont="1" applyBorder="1" applyAlignment="1">
      <alignment horizontal="center" vertical="center" shrinkToFit="1"/>
    </xf>
    <xf numFmtId="0" fontId="14" fillId="0" borderId="126" xfId="0" applyFont="1" applyBorder="1" applyAlignment="1">
      <alignment horizontal="center" vertical="center" shrinkToFit="1"/>
    </xf>
    <xf numFmtId="0" fontId="14" fillId="0" borderId="13" xfId="0" applyFont="1" applyBorder="1" applyAlignment="1">
      <alignment horizontal="center" vertical="center" shrinkToFit="1"/>
    </xf>
    <xf numFmtId="0" fontId="14" fillId="0" borderId="2" xfId="0" applyFont="1" applyBorder="1" applyAlignment="1">
      <alignment horizontal="center" vertical="center" shrinkToFit="1"/>
    </xf>
    <xf numFmtId="0" fontId="14" fillId="0" borderId="23" xfId="0" applyFont="1" applyBorder="1" applyAlignment="1">
      <alignment horizontal="center" vertical="center" shrinkToFit="1"/>
    </xf>
    <xf numFmtId="0" fontId="4" fillId="0" borderId="6" xfId="0" applyFont="1" applyBorder="1" applyAlignment="1">
      <alignment horizontal="center" vertical="center" shrinkToFit="1"/>
    </xf>
    <xf numFmtId="0" fontId="4" fillId="0" borderId="8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25" xfId="0" applyBorder="1" applyAlignment="1" applyProtection="1">
      <alignment horizontal="left" vertical="center"/>
      <protection locked="0"/>
    </xf>
  </cellXfs>
  <cellStyles count="2">
    <cellStyle name="Normal" xfId="0" builtinId="0"/>
    <cellStyle name="Percent" xfId="1" builtinId="5"/>
  </cellStyles>
  <dxfs count="218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1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slantDashDot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slantDashDot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slantDashDot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1" readingOrder="0"/>
      <border diagonalUp="0" diagonalDown="0">
        <left style="medium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30" formatCode="@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protection locked="1" hidden="0"/>
    </dxf>
    <dxf>
      <font>
        <b/>
        <i val="0"/>
        <color rgb="FFC00000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/>
        <color rgb="FF00B050"/>
      </font>
      <fill>
        <gradientFill degree="90">
          <stop position="0">
            <color theme="9" tint="0.80001220740379042"/>
          </stop>
          <stop position="1">
            <color theme="5" tint="0.80001220740379042"/>
          </stop>
        </gradient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  <color rgb="FFFF9999"/>
      <color rgb="FFD6BBEB"/>
      <color rgb="FF8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603250</xdr:colOff>
      <xdr:row>2</xdr:row>
      <xdr:rowOff>191218</xdr:rowOff>
    </xdr:from>
    <xdr:to>
      <xdr:col>15</xdr:col>
      <xdr:colOff>209550</xdr:colOff>
      <xdr:row>9</xdr:row>
      <xdr:rowOff>97537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C353E3B-8A29-4D79-A0FA-B4AB217D43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44" t="14533" r="4306" b="15551"/>
        <a:stretch/>
      </xdr:blipFill>
      <xdr:spPr>
        <a:xfrm>
          <a:off x="3879850" y="591268"/>
          <a:ext cx="4914900" cy="12842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95250</xdr:rowOff>
    </xdr:from>
    <xdr:to>
      <xdr:col>3</xdr:col>
      <xdr:colOff>798523</xdr:colOff>
      <xdr:row>3</xdr:row>
      <xdr:rowOff>175586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13923E-2D37-4EFC-89C2-08DC9DA77A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44" t="14533" r="4306" b="15551"/>
        <a:stretch/>
      </xdr:blipFill>
      <xdr:spPr>
        <a:xfrm>
          <a:off x="134056" y="95250"/>
          <a:ext cx="3238499" cy="856447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200-000000000000}" autoFormatId="16" applyNumberFormats="0" applyBorderFormats="0" applyFontFormats="0" applyPatternFormats="0" applyAlignmentFormats="0" applyWidthHeightFormats="0">
  <queryTableRefresh nextId="104">
    <queryTableFields count="103">
      <queryTableField id="1" name="Content.Student ID" tableColumnId="1"/>
      <queryTableField id="2" name="Content.Student Name" tableColumnId="2"/>
      <queryTableField id="3" name="Content.Course" tableColumnId="3"/>
      <queryTableField id="4" name="Content.Bonus" tableColumnId="4"/>
      <queryTableField id="5" name="Content.MRG" tableColumnId="5"/>
      <queryTableField id="6" name="Content.MGP" tableColumnId="6"/>
      <queryTableField id="7" name="Content.FRG" tableColumnId="7"/>
      <queryTableField id="8" name="Content.FGP" tableColumnId="8"/>
      <queryTableField id="9" name="Content.CP1" tableColumnId="9"/>
      <queryTableField id="10" name="Content.CP2" tableColumnId="10"/>
      <queryTableField id="11" name="Content.CP3" tableColumnId="11"/>
      <queryTableField id="12" name="Content.CP4" tableColumnId="12"/>
      <queryTableField id="13" name="Content.CP5" tableColumnId="13"/>
      <queryTableField id="14" name="Content.CP6" tableColumnId="14"/>
      <queryTableField id="15" name="Content.EA1" tableColumnId="15"/>
      <queryTableField id="16" name="Content.EA2" tableColumnId="16"/>
      <queryTableField id="17" name="Content.EA3" tableColumnId="17"/>
      <queryTableField id="18" name="Content.EA4" tableColumnId="18"/>
      <queryTableField id="19" name="Content.EA5" tableColumnId="19"/>
      <queryTableField id="20" name="Content.EA6" tableColumnId="20"/>
      <queryTableField id="21" name="Content.MPT" tableColumnId="21"/>
      <queryTableField id="22" name="Content.MEXC" tableColumnId="22"/>
      <queryTableField id="23" name="Content.CP7" tableColumnId="23"/>
      <queryTableField id="24" name="Content.CP8" tableColumnId="24"/>
      <queryTableField id="25" name="Content.CP9" tableColumnId="25"/>
      <queryTableField id="26" name="Content.CP10" tableColumnId="26"/>
      <queryTableField id="27" name="Content.CP11" tableColumnId="27"/>
      <queryTableField id="28" name="Content.CP12" tableColumnId="28"/>
      <queryTableField id="29" name="Content.EA7" tableColumnId="29"/>
      <queryTableField id="30" name="Content.EA8" tableColumnId="30"/>
      <queryTableField id="31" name="Content.EA9" tableColumnId="31"/>
      <queryTableField id="32" name="Content.EA10" tableColumnId="32"/>
      <queryTableField id="33" name="Content.EA11" tableColumnId="33"/>
      <queryTableField id="34" name="Content.EA12" tableColumnId="34"/>
      <queryTableField id="35" name="Content.FPT" tableColumnId="35"/>
      <queryTableField id="36" name="Content.FEXC" tableColumnId="36"/>
      <queryTableField id="37" name="Content.Remarks" tableColumnId="37"/>
      <queryTableField id="38" name="Content.Section" tableColumnId="38"/>
      <queryTableField id="39" name="Content.%MidtermCP" tableColumnId="39"/>
      <queryTableField id="40" name="Content.%MidtermEA" tableColumnId="40"/>
      <queryTableField id="41" name="Content.%MidtermMPT" tableColumnId="41"/>
      <queryTableField id="42" name="Content.%MidtermExC" tableColumnId="42"/>
      <queryTableField id="43" name="Content.%FinalsCP" tableColumnId="43"/>
      <queryTableField id="44" name="Content.%FinalsEA" tableColumnId="44"/>
      <queryTableField id="45" name="Content.%FinalsFPT" tableColumnId="45"/>
      <queryTableField id="46" name="Content.%FinalsMPT" tableColumnId="46"/>
      <queryTableField id="47" name="Content.%FinalsExC" tableColumnId="47"/>
      <queryTableField id="48" name="Content.NCP1" tableColumnId="48"/>
      <queryTableField id="49" name="Content.NCP2" tableColumnId="49"/>
      <queryTableField id="50" name="Content.NCP3" tableColumnId="50"/>
      <queryTableField id="51" name="Content.NCP4" tableColumnId="51"/>
      <queryTableField id="52" name="Content.NCP5" tableColumnId="52"/>
      <queryTableField id="53" name="Content.NCP6" tableColumnId="53"/>
      <queryTableField id="54" name="Content.SCP1" tableColumnId="54"/>
      <queryTableField id="55" name="Content.SCP2" tableColumnId="55"/>
      <queryTableField id="56" name="Content.SCP3" tableColumnId="56"/>
      <queryTableField id="57" name="Content.SCP4" tableColumnId="57"/>
      <queryTableField id="58" name="Content.SCP5" tableColumnId="58"/>
      <queryTableField id="59" name="Content.SCP6" tableColumnId="59"/>
      <queryTableField id="60" name="Content.NEA1" tableColumnId="60"/>
      <queryTableField id="61" name="Content.NEA2" tableColumnId="61"/>
      <queryTableField id="62" name="Content.NEA3" tableColumnId="62"/>
      <queryTableField id="63" name="Content.NEA4" tableColumnId="63"/>
      <queryTableField id="64" name="Content.NEA5" tableColumnId="64"/>
      <queryTableField id="65" name="Content.NEA6" tableColumnId="65"/>
      <queryTableField id="66" name="Content.SEA1" tableColumnId="66"/>
      <queryTableField id="67" name="Content.SEA2" tableColumnId="67"/>
      <queryTableField id="68" name="Content.SEA3" tableColumnId="68"/>
      <queryTableField id="69" name="Content.SEA4" tableColumnId="69"/>
      <queryTableField id="70" name="Content.SEA5" tableColumnId="70"/>
      <queryTableField id="71" name="Content.SEA6" tableColumnId="71"/>
      <queryTableField id="72" name="Content.NMPT" tableColumnId="72"/>
      <queryTableField id="73" name="Content.SMPT" tableColumnId="73"/>
      <queryTableField id="74" name="Content.SMEXC" tableColumnId="74"/>
      <queryTableField id="75" name="Content.NMEXC" tableColumnId="75"/>
      <queryTableField id="76" name="Content.NCP7" tableColumnId="76"/>
      <queryTableField id="77" name="Content.NCP8" tableColumnId="77"/>
      <queryTableField id="78" name="Content.NCP9" tableColumnId="78"/>
      <queryTableField id="79" name="Content.NCP10" tableColumnId="79"/>
      <queryTableField id="80" name="Content.NCP11" tableColumnId="80"/>
      <queryTableField id="81" name="Content.NCP12" tableColumnId="81"/>
      <queryTableField id="82" name="Content.SCP7" tableColumnId="82"/>
      <queryTableField id="83" name="Content.SCP8" tableColumnId="83"/>
      <queryTableField id="84" name="Content.SCP9" tableColumnId="84"/>
      <queryTableField id="85" name="Content.SCP10" tableColumnId="85"/>
      <queryTableField id="86" name="Content.SCP11" tableColumnId="86"/>
      <queryTableField id="87" name="Content.SCP12" tableColumnId="87"/>
      <queryTableField id="88" name="Content.NEA7" tableColumnId="88"/>
      <queryTableField id="89" name="Content.NEA8" tableColumnId="89"/>
      <queryTableField id="90" name="Content.NEA9" tableColumnId="90"/>
      <queryTableField id="91" name="Content.NEA10" tableColumnId="91"/>
      <queryTableField id="92" name="Content.NEA11" tableColumnId="92"/>
      <queryTableField id="93" name="Content.NEA12" tableColumnId="93"/>
      <queryTableField id="94" name="Content.SEA7" tableColumnId="94"/>
      <queryTableField id="95" name="Content.SEA8" tableColumnId="95"/>
      <queryTableField id="96" name="Content.SEA9" tableColumnId="96"/>
      <queryTableField id="97" name="Content.SEA10" tableColumnId="97"/>
      <queryTableField id="98" name="Content.SEA11" tableColumnId="98"/>
      <queryTableField id="99" name="Content.SEA12" tableColumnId="99"/>
      <queryTableField id="100" name="Content.SFPT" tableColumnId="100"/>
      <queryTableField id="101" name="Content.NFPT" tableColumnId="101"/>
      <queryTableField id="102" name="Content.NFEXC" tableColumnId="102"/>
      <queryTableField id="103" name="Content.SFEXC" tableColumnId="10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05FE1F-E882-4DD0-8D7F-10A17B475EF7}" name="tblsec1" displayName="tblsec1" ref="G6:DF56" totalsRowShown="0" headerRowDxfId="212" dataDxfId="210" headerRowBorderDxfId="211" tableBorderDxfId="209">
  <autoFilter ref="G6:DF56" xr:uid="{2505FE1F-E882-4DD0-8D7F-10A17B475EF7}"/>
  <tableColumns count="104">
    <tableColumn id="1" xr3:uid="{36AA9E28-AFC3-4BA8-A293-CAE442675DF3}" name="No" dataDxfId="208"/>
    <tableColumn id="2" xr3:uid="{2F2AA773-73F3-4073-AF24-C6A254C64C66}" name="Student ID" dataDxfId="207"/>
    <tableColumn id="3" xr3:uid="{768BF735-E5AE-4F18-9C6A-A2488C79D7AF}" name="Student Name" dataDxfId="206"/>
    <tableColumn id="4" xr3:uid="{316DC3D5-2104-439B-8514-297F569CAB51}" name="Course" dataDxfId="205"/>
    <tableColumn id="111" xr3:uid="{59806D78-0FFE-4D1C-979F-0617835F7274}" name="Bonus" dataDxfId="204"/>
    <tableColumn id="5" xr3:uid="{6DD0A7F5-A447-4E74-8AB0-76143E32EB09}" name="MRG" dataDxfId="203">
      <calculatedColumnFormula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calculatedColumnFormula>
    </tableColumn>
    <tableColumn id="6" xr3:uid="{8629227B-BFA8-413E-98F6-1D42423A118A}" name="MGP" dataDxfId="202">
      <calculatedColumnFormula>IF(($B$12="Bridging Course [P/F]")+($B$12="Nationalian [P/F]"), (IF(tblsec1[[#This Row],[MRG]]&gt;59.5,"Pass","Fail")), (IF($B$12="Practicum", (VLOOKUP(tblsec1[[#This Row],[MRG]],PRAC_GradeTable,2)), (VLOOKUP(tblsec1[[#This Row],[MRG]],GradeTable1,2)))))</calculatedColumnFormula>
    </tableColumn>
    <tableColumn id="7" xr3:uid="{68586341-4ADC-4E3F-8F9F-E83C4A272A83}" name="FRG" dataDxfId="201">
      <calculatedColumnFormula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calculatedColumnFormula>
    </tableColumn>
    <tableColumn id="8" xr3:uid="{9F88F689-148E-42FA-9258-48DBEB084D26}" name="FGP" dataDxfId="200">
      <calculatedColumnFormula>IF(($B$12="Bridging Course [P/F]")+($B$12="Nationalian [P/F]"), (IF(tblsec1[[#This Row],[FRG]]&gt;59.5,"Pass","Fail")), (IF($B$12="Practicum", (VLOOKUP(tblsec1[[#This Row],[FRG]],PRAC_GradeTable,2)), (VLOOKUP(tblsec1[[#This Row],[FRG]],GradeTable1,2)))))</calculatedColumnFormula>
    </tableColumn>
    <tableColumn id="9" xr3:uid="{26320432-2CF4-4794-96EC-D1A93F160859}" name="CP1" dataDxfId="199"/>
    <tableColumn id="10" xr3:uid="{55F2DF87-5108-4D18-90D2-AF129DC259CE}" name="CP2" dataDxfId="198"/>
    <tableColumn id="11" xr3:uid="{B998AFA5-13E2-47AB-9ED9-1A0416E1EBA3}" name="CP3" dataDxfId="197"/>
    <tableColumn id="12" xr3:uid="{54C9B6EB-8DA3-47DA-8F0A-60C65378B558}" name="CP4" dataDxfId="196"/>
    <tableColumn id="13" xr3:uid="{D28A1BA6-DBD5-4047-B5D1-614CE2363014}" name="CP5" dataDxfId="195"/>
    <tableColumn id="14" xr3:uid="{05770A7D-37A0-4AA0-86AA-660BA100B5DC}" name="CP6" dataDxfId="194"/>
    <tableColumn id="15" xr3:uid="{FE5F9496-384C-4C42-9D41-A46A50CA76A0}" name="EA1" dataDxfId="193"/>
    <tableColumn id="16" xr3:uid="{8CAE073F-3421-4574-9D72-0537DDAF9D42}" name="EA2" dataDxfId="192"/>
    <tableColumn id="17" xr3:uid="{C811220B-17EF-43A4-9A83-CD65C7535F04}" name="EA3" dataDxfId="191"/>
    <tableColumn id="18" xr3:uid="{1BDF182D-9949-4328-85F8-3490770773AE}" name="EA4" dataDxfId="190"/>
    <tableColumn id="19" xr3:uid="{EE33B966-5F34-464B-94DB-53A9EF9A1C24}" name="EA5" dataDxfId="189"/>
    <tableColumn id="20" xr3:uid="{296EDEFF-3518-4571-9B5D-27F34F9D64EF}" name="EA6" dataDxfId="188"/>
    <tableColumn id="21" xr3:uid="{B2A77BA0-6ECC-4481-89A0-3683D05E1300}" name="MPT" dataDxfId="187"/>
    <tableColumn id="22" xr3:uid="{460D0E71-AA87-4875-B080-24691618F67A}" name="MEXC" dataDxfId="186"/>
    <tableColumn id="23" xr3:uid="{3849EABE-EE77-4BCD-B773-BC62E7186C1F}" name="CP7" dataDxfId="185"/>
    <tableColumn id="86" xr3:uid="{4D303F28-A62E-4769-B09B-623B0CC2202C}" name="CP8" dataDxfId="184"/>
    <tableColumn id="57" xr3:uid="{00FE0164-6B0D-4496-8898-2E50BF470951}" name="CP9" dataDxfId="183"/>
    <tableColumn id="24" xr3:uid="{DEF2C377-6E24-4350-9DF5-6126EB69E675}" name="CP10" dataDxfId="182"/>
    <tableColumn id="87" xr3:uid="{46AD4D0A-AB2C-4BD2-A459-6C471754D398}" name="CP11" dataDxfId="181"/>
    <tableColumn id="58" xr3:uid="{66F108A6-FA95-4547-81E7-BBE20136C999}" name="CP12" dataDxfId="180"/>
    <tableColumn id="29" xr3:uid="{33074442-0043-4E51-8499-862DA0C9684A}" name="EA7" dataDxfId="179"/>
    <tableColumn id="93" xr3:uid="{704CAAA8-ACFC-437D-8914-79270390C44C}" name="EA8" dataDxfId="178"/>
    <tableColumn id="63" xr3:uid="{C1290DA4-C517-48F6-B3E5-ABA9F2330EFA}" name="EA9" dataDxfId="177"/>
    <tableColumn id="30" xr3:uid="{445E145B-B4DF-48D3-A74C-3978E829FD01}" name="EA10" dataDxfId="176"/>
    <tableColumn id="94" xr3:uid="{43B1CB37-57C7-4ED3-89B8-97D96443AD4A}" name="EA11" dataDxfId="175"/>
    <tableColumn id="64" xr3:uid="{71F3539A-3881-4C48-B3ED-07D0D3821217}" name="EA12" dataDxfId="174"/>
    <tableColumn id="35" xr3:uid="{37EDFAF2-EFAC-4400-B1F8-F2BC7E692EE2}" name="FPT" dataDxfId="173"/>
    <tableColumn id="36" xr3:uid="{2ADDF86D-3EF0-4275-8043-904069AEB1A4}" name="FEXC" dataDxfId="172"/>
    <tableColumn id="37" xr3:uid="{3F9AED5B-F282-4041-9523-D1F63838AF83}" name="Remarks" dataDxfId="171"/>
    <tableColumn id="38" xr3:uid="{6F91221F-109B-47B1-A95B-DBAADB84F1B9}" name="Section" dataDxfId="170">
      <calculatedColumnFormula>$E$8</calculatedColumnFormula>
    </tableColumn>
    <tableColumn id="39" xr3:uid="{4AC801B9-ABAF-41E5-849F-DB4BB29654EB}" name="%MidtermCP" dataDxfId="169">
      <calculatedColumnFormula>$D$17</calculatedColumnFormula>
    </tableColumn>
    <tableColumn id="40" xr3:uid="{5B10B580-C197-442D-BAF4-F16F783B614C}" name="%MidtermEA" dataDxfId="168">
      <calculatedColumnFormula>$D$18</calculatedColumnFormula>
    </tableColumn>
    <tableColumn id="41" xr3:uid="{6BCF03DA-3997-401E-87F2-C498A84BBE6D}" name="%MidtermMPT" dataDxfId="167">
      <calculatedColumnFormula>$D$19</calculatedColumnFormula>
    </tableColumn>
    <tableColumn id="42" xr3:uid="{2F7F9AFA-F851-4CB1-BB04-B4E1A33C9477}" name="%MidtermExC" dataDxfId="166">
      <calculatedColumnFormula>$D$21</calculatedColumnFormula>
    </tableColumn>
    <tableColumn id="43" xr3:uid="{D5B652EE-1BE4-45AF-B150-A6AFE0F53897}" name="%FinalsCP" dataDxfId="165">
      <calculatedColumnFormula>$E$17</calculatedColumnFormula>
    </tableColumn>
    <tableColumn id="44" xr3:uid="{5090F529-1F0B-4CC8-8809-8E271743EA2B}" name="%FinalsEA" dataDxfId="164">
      <calculatedColumnFormula>$E$18</calculatedColumnFormula>
    </tableColumn>
    <tableColumn id="45" xr3:uid="{4F7D9E44-B93E-4377-B8D0-388C41269770}" name="%FinalsFPT" dataDxfId="163">
      <calculatedColumnFormula>$E$20</calculatedColumnFormula>
    </tableColumn>
    <tableColumn id="46" xr3:uid="{CCE36BC8-73F0-485B-B251-F9C1E6F9E6FF}" name="%FinalsMPT" dataDxfId="162">
      <calculatedColumnFormula>$E$19</calculatedColumnFormula>
    </tableColumn>
    <tableColumn id="47" xr3:uid="{9EB0347A-F033-4057-950F-D7BDAD902631}" name="%FinalsExC" dataDxfId="161">
      <calculatedColumnFormula>$E$21</calculatedColumnFormula>
    </tableColumn>
    <tableColumn id="48" xr3:uid="{2CB49869-F83A-4AE8-BDF5-A655E6B02612}" name="NCP1" dataDxfId="160">
      <calculatedColumnFormula>$P$4</calculatedColumnFormula>
    </tableColumn>
    <tableColumn id="49" xr3:uid="{AAEF5B30-B243-4AC6-AEC3-0FBBE884AE77}" name="NCP2" dataDxfId="159">
      <calculatedColumnFormula>$Q$4</calculatedColumnFormula>
    </tableColumn>
    <tableColumn id="50" xr3:uid="{132AF42B-E327-4084-B88C-E5A5DB412D74}" name="NCP3" dataDxfId="158">
      <calculatedColumnFormula>$R$4</calculatedColumnFormula>
    </tableColumn>
    <tableColumn id="51" xr3:uid="{DDB0540C-289D-42C1-A697-5F023956FEAC}" name="NCP4" dataDxfId="157">
      <calculatedColumnFormula>$S$4</calculatedColumnFormula>
    </tableColumn>
    <tableColumn id="52" xr3:uid="{4D04C3A1-1AD0-4D6A-8941-F6A3581965D5}" name="NCP5" dataDxfId="156">
      <calculatedColumnFormula>$T$4</calculatedColumnFormula>
    </tableColumn>
    <tableColumn id="53" xr3:uid="{0FC88FFA-A124-4B9F-900D-B0862A74DB71}" name="NCP6" dataDxfId="155">
      <calculatedColumnFormula>$U$4</calculatedColumnFormula>
    </tableColumn>
    <tableColumn id="54" xr3:uid="{F4CED551-5A8C-4155-8D68-A8517AEB13A2}" name="SCP1" dataDxfId="154">
      <calculatedColumnFormula>$P$5</calculatedColumnFormula>
    </tableColumn>
    <tableColumn id="56" xr3:uid="{F379330D-CF12-432C-8C3F-3CB3940CE8D5}" name="SCP2" dataDxfId="153">
      <calculatedColumnFormula>$Q$5</calculatedColumnFormula>
    </tableColumn>
    <tableColumn id="70" xr3:uid="{48A050CB-DDED-4ABF-BF7C-DBCF16EC45AD}" name="SCP3" dataDxfId="152">
      <calculatedColumnFormula>$R$5</calculatedColumnFormula>
    </tableColumn>
    <tableColumn id="71" xr3:uid="{ADCEF82D-8165-47E6-82E3-17A7BAC740A4}" name="SCP4" dataDxfId="151">
      <calculatedColumnFormula>$S$5</calculatedColumnFormula>
    </tableColumn>
    <tableColumn id="72" xr3:uid="{1CE47259-E448-4FE6-A9AF-751CAEF87810}" name="SCP5" dataDxfId="150">
      <calculatedColumnFormula>$T$5</calculatedColumnFormula>
    </tableColumn>
    <tableColumn id="73" xr3:uid="{7EB379EA-3D2A-47E4-B191-597062CF4F2F}" name="SCP6" dataDxfId="149">
      <calculatedColumnFormula>$U$5</calculatedColumnFormula>
    </tableColumn>
    <tableColumn id="74" xr3:uid="{428FCCE6-F031-42FD-942A-FFBC490535EA}" name="NEA1" dataDxfId="148">
      <calculatedColumnFormula>$V$4</calculatedColumnFormula>
    </tableColumn>
    <tableColumn id="75" xr3:uid="{D8D83C13-6E5A-4208-A4D8-538F8F2AD288}" name="NEA2" dataDxfId="147">
      <calculatedColumnFormula>$W$4</calculatedColumnFormula>
    </tableColumn>
    <tableColumn id="76" xr3:uid="{319F3A79-D82C-41FD-8A30-2E1948DB4B39}" name="NEA3" dataDxfId="146">
      <calculatedColumnFormula>$X$4</calculatedColumnFormula>
    </tableColumn>
    <tableColumn id="77" xr3:uid="{A6695C6F-E864-4D8A-AA6E-CF8AF6031D47}" name="NEA4" dataDxfId="145">
      <calculatedColumnFormula>$Y$4</calculatedColumnFormula>
    </tableColumn>
    <tableColumn id="78" xr3:uid="{B7DBCB85-8262-48D9-9C6B-83EE51EC884B}" name="NEA5" dataDxfId="144">
      <calculatedColumnFormula>$Z$4</calculatedColumnFormula>
    </tableColumn>
    <tableColumn id="79" xr3:uid="{4E774C50-73D2-46CF-8B35-0FCC0788AC4A}" name="NEA6" dataDxfId="143">
      <calculatedColumnFormula>$AA$4</calculatedColumnFormula>
    </tableColumn>
    <tableColumn id="80" xr3:uid="{EAD54061-FA8C-4C95-802A-777AAE2F1434}" name="SEA1" dataDxfId="142">
      <calculatedColumnFormula>$V$5</calculatedColumnFormula>
    </tableColumn>
    <tableColumn id="81" xr3:uid="{F1CA7882-8967-4263-956D-D1A8CA10A548}" name="SEA2" dataDxfId="141">
      <calculatedColumnFormula>$W$5</calculatedColumnFormula>
    </tableColumn>
    <tableColumn id="82" xr3:uid="{03CCF6B3-8CB4-4D73-A844-E56EAA90B347}" name="SEA3" dataDxfId="140">
      <calculatedColumnFormula>$X$5</calculatedColumnFormula>
    </tableColumn>
    <tableColumn id="83" xr3:uid="{CC05588F-43C4-4B70-AC62-5FBD67FDCFEF}" name="SEA4" dataDxfId="139">
      <calculatedColumnFormula>$Y$5</calculatedColumnFormula>
    </tableColumn>
    <tableColumn id="84" xr3:uid="{9F0DA25F-A527-41D2-86E0-0DCCB81247F7}" name="SEA5" dataDxfId="138">
      <calculatedColumnFormula>$Z$5</calculatedColumnFormula>
    </tableColumn>
    <tableColumn id="102" xr3:uid="{E6658E52-1D16-4430-A826-42ADFC5B0C86}" name="SEA6" dataDxfId="137">
      <calculatedColumnFormula>$AA$5</calculatedColumnFormula>
    </tableColumn>
    <tableColumn id="103" xr3:uid="{EFDEE9C8-9B07-4C03-8DF8-E0F18A3F3446}" name="NMPT" dataDxfId="136">
      <calculatedColumnFormula>$AB$3</calculatedColumnFormula>
    </tableColumn>
    <tableColumn id="104" xr3:uid="{6F5B2A32-3CAD-455E-A935-AEA17F842D46}" name="SMPT" dataDxfId="135">
      <calculatedColumnFormula>$AB$5</calculatedColumnFormula>
    </tableColumn>
    <tableColumn id="105" xr3:uid="{DFF94E3C-D601-4D28-89D0-1A4A57573201}" name="SMEXC" dataDxfId="134">
      <calculatedColumnFormula>$AC$5</calculatedColumnFormula>
    </tableColumn>
    <tableColumn id="106" xr3:uid="{3058FABB-F1ED-4CA9-BBD4-B9AAF1214344}" name="NMEXC" dataDxfId="133">
      <calculatedColumnFormula>$AC$3</calculatedColumnFormula>
    </tableColumn>
    <tableColumn id="107" xr3:uid="{E0AC32A6-6719-4F9A-98DA-5568425B19FF}" name="NCP7" dataDxfId="132">
      <calculatedColumnFormula>AD$4</calculatedColumnFormula>
    </tableColumn>
    <tableColumn id="108" xr3:uid="{94BD8CC3-010F-472E-9A8E-F14746753A4B}" name="NCP8" dataDxfId="131">
      <calculatedColumnFormula>$AE$4</calculatedColumnFormula>
    </tableColumn>
    <tableColumn id="109" xr3:uid="{282EC5EC-EC8D-464B-A0B6-482694BFD314}" name="NCP9" dataDxfId="130">
      <calculatedColumnFormula>$AF$4</calculatedColumnFormula>
    </tableColumn>
    <tableColumn id="110" xr3:uid="{743E3F06-029D-44C5-B4C2-808EA0891142}" name="NCP10" dataDxfId="129">
      <calculatedColumnFormula>$AG$4</calculatedColumnFormula>
    </tableColumn>
    <tableColumn id="112" xr3:uid="{119BE702-6687-4FD5-B216-6E47B6207C19}" name="NCP11" dataDxfId="128">
      <calculatedColumnFormula>$AH$4</calculatedColumnFormula>
    </tableColumn>
    <tableColumn id="113" xr3:uid="{1A1AC68F-DE16-4665-8D96-A7E201D4DC7B}" name="NCP12" dataDxfId="127">
      <calculatedColumnFormula>$AI$4</calculatedColumnFormula>
    </tableColumn>
    <tableColumn id="114" xr3:uid="{52407085-CBA8-49B1-BE74-355B2EA01BCC}" name="SCP7" dataDxfId="126">
      <calculatedColumnFormula>$AD$5</calculatedColumnFormula>
    </tableColumn>
    <tableColumn id="115" xr3:uid="{4841F492-8675-4572-B98D-17BAACE37F83}" name="SCP8" dataDxfId="125">
      <calculatedColumnFormula>$AE$5</calculatedColumnFormula>
    </tableColumn>
    <tableColumn id="116" xr3:uid="{2AE878FD-08FC-48E7-B249-53113861AA30}" name="SCP9" dataDxfId="124">
      <calculatedColumnFormula>$AF$5</calculatedColumnFormula>
    </tableColumn>
    <tableColumn id="117" xr3:uid="{AA27CBE3-F81C-4EDD-AEA0-434C75960977}" name="SCP10" dataDxfId="123">
      <calculatedColumnFormula>$AG$5</calculatedColumnFormula>
    </tableColumn>
    <tableColumn id="118" xr3:uid="{5B499E74-6DF1-4411-B764-B96A3D158B48}" name="SCP11" dataDxfId="122">
      <calculatedColumnFormula>$AH$5</calculatedColumnFormula>
    </tableColumn>
    <tableColumn id="119" xr3:uid="{AC8C08CD-1592-43E4-9F08-DD199EAE1903}" name="SCP12" dataDxfId="121">
      <calculatedColumnFormula>$AI$5</calculatedColumnFormula>
    </tableColumn>
    <tableColumn id="120" xr3:uid="{5A5455C2-EDA2-4362-BF63-DD5BD93C9D9A}" name="NEA7" dataDxfId="120">
      <calculatedColumnFormula>$AJ$4</calculatedColumnFormula>
    </tableColumn>
    <tableColumn id="121" xr3:uid="{8704F501-F9EE-4AE7-B5C9-25FAEFD01D82}" name="NEA8" dataDxfId="119">
      <calculatedColumnFormula>$AK$4</calculatedColumnFormula>
    </tableColumn>
    <tableColumn id="122" xr3:uid="{B69CCCCA-D2A2-4CC1-BB25-DA70B6FCEA06}" name="NEA9" dataDxfId="118">
      <calculatedColumnFormula>$AL$4</calculatedColumnFormula>
    </tableColumn>
    <tableColumn id="123" xr3:uid="{4F3CE875-0829-4B0C-8838-0420E2B9FE5E}" name="NEA10" dataDxfId="117">
      <calculatedColumnFormula>$AM$4</calculatedColumnFormula>
    </tableColumn>
    <tableColumn id="124" xr3:uid="{D2F009E5-42C0-47D4-BE06-8E47B4A97202}" name="NEA11" dataDxfId="116">
      <calculatedColumnFormula>$AN$4</calculatedColumnFormula>
    </tableColumn>
    <tableColumn id="125" xr3:uid="{1D557186-2EC4-4F72-91A6-25C07552F4C3}" name="NEA12" dataDxfId="115">
      <calculatedColumnFormula>$AO$4</calculatedColumnFormula>
    </tableColumn>
    <tableColumn id="126" xr3:uid="{1450C0B2-0CDD-4523-865C-FBE67F9AE304}" name="SEA7" dataDxfId="114">
      <calculatedColumnFormula>$AJ$5</calculatedColumnFormula>
    </tableColumn>
    <tableColumn id="127" xr3:uid="{A53A7265-E329-43C9-8721-A423C8405A3F}" name="SEA8" dataDxfId="113">
      <calculatedColumnFormula>$AK$5</calculatedColumnFormula>
    </tableColumn>
    <tableColumn id="128" xr3:uid="{165E4E94-970F-4FD0-8A8B-EDA76E915C22}" name="SEA9" dataDxfId="112">
      <calculatedColumnFormula>$AL$5</calculatedColumnFormula>
    </tableColumn>
    <tableColumn id="129" xr3:uid="{769DB415-2B2E-4784-8D24-762A0010E835}" name="SEA10" dataDxfId="111">
      <calculatedColumnFormula>$AM$5</calculatedColumnFormula>
    </tableColumn>
    <tableColumn id="130" xr3:uid="{7594257B-912B-4A7E-AACD-6F05E892E3DE}" name="SEA11" dataDxfId="110">
      <calculatedColumnFormula>$AN$5</calculatedColumnFormula>
    </tableColumn>
    <tableColumn id="131" xr3:uid="{F2C37321-7780-41B3-B70A-FD2B89201195}" name="SEA12" dataDxfId="109">
      <calculatedColumnFormula>$AO$5</calculatedColumnFormula>
    </tableColumn>
    <tableColumn id="132" xr3:uid="{14F7BBD3-3785-4CA0-A833-3552D888522C}" name="SFPT" dataDxfId="108">
      <calculatedColumnFormula>$AP$5</calculatedColumnFormula>
    </tableColumn>
    <tableColumn id="133" xr3:uid="{236D010F-4270-47FE-9861-F3A68511D19D}" name="NFPT" dataDxfId="107">
      <calculatedColumnFormula>$AP$3</calculatedColumnFormula>
    </tableColumn>
    <tableColumn id="134" xr3:uid="{26885DD6-3EF7-4C25-A53D-7C3A57400C1C}" name="NFEXC" dataDxfId="106">
      <calculatedColumnFormula>$AQ$3</calculatedColumnFormula>
    </tableColumn>
    <tableColumn id="135" xr3:uid="{ACDC4261-DDE4-49DE-BB8B-DADDD40FF2BF}" name="SFEXC" dataDxfId="105">
      <calculatedColumnFormula>$AQ$5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2F3FA8-FD92-4D94-8C78-0CDAFB3FCABB}" name="Masterlist" displayName="Masterlist" ref="A1:CY27002" tableType="queryTable" totalsRowShown="0" headerRowDxfId="104" dataDxfId="103">
  <autoFilter ref="A1:CY27002" xr:uid="{D32F3FA8-FD92-4D94-8C78-0CDAFB3FCABB}"/>
  <tableColumns count="103">
    <tableColumn id="1" xr3:uid="{FC0960F0-581B-4D86-86C8-C28A5FCED2AB}" uniqueName="1" name="Content.Student ID" queryTableFieldId="1" dataDxfId="102"/>
    <tableColumn id="2" xr3:uid="{8F0000C6-3760-4C4F-AD27-DE927C0A2CDD}" uniqueName="2" name="Content.Student Name" queryTableFieldId="2" dataDxfId="101"/>
    <tableColumn id="3" xr3:uid="{04CA1E28-AED8-4492-8436-0E379E8DFE82}" uniqueName="3" name="Content.Course" queryTableFieldId="3" dataDxfId="100"/>
    <tableColumn id="4" xr3:uid="{F285B565-51E9-47DA-B356-C44DE812AA69}" uniqueName="4" name="Content.Bonus" queryTableFieldId="4" dataDxfId="99"/>
    <tableColumn id="5" xr3:uid="{1BDB6557-FF8D-48AE-8435-C3E602308831}" uniqueName="5" name="Content.MRG" queryTableFieldId="5" dataDxfId="98"/>
    <tableColumn id="6" xr3:uid="{0621801D-43F8-47D9-AFB7-A4BCB1CEE705}" uniqueName="6" name="Content.MGP" queryTableFieldId="6" dataDxfId="97"/>
    <tableColumn id="7" xr3:uid="{D1D1536A-6890-43BC-8B9C-E83F814A0355}" uniqueName="7" name="Content.FRG" queryTableFieldId="7" dataDxfId="96"/>
    <tableColumn id="8" xr3:uid="{0CF9830E-1B20-493A-9E94-D668F235390B}" uniqueName="8" name="Content.FGP" queryTableFieldId="8" dataDxfId="95"/>
    <tableColumn id="9" xr3:uid="{A1BE2D80-8F1F-45D1-B571-A1A04A3E3B88}" uniqueName="9" name="Content.CP1" queryTableFieldId="9" dataDxfId="94"/>
    <tableColumn id="10" xr3:uid="{AB6E4770-F199-4A8C-9FDE-5162E3307D65}" uniqueName="10" name="Content.CP2" queryTableFieldId="10" dataDxfId="93"/>
    <tableColumn id="11" xr3:uid="{E89A797B-235D-441F-9966-530162FD7435}" uniqueName="11" name="Content.CP3" queryTableFieldId="11" dataDxfId="92"/>
    <tableColumn id="12" xr3:uid="{9D9DDFBE-A236-4542-B4EC-F77C1E38B3F0}" uniqueName="12" name="Content.CP4" queryTableFieldId="12" dataDxfId="91"/>
    <tableColumn id="13" xr3:uid="{27D41CC5-EEE2-4238-B82F-639C01E3338F}" uniqueName="13" name="Content.CP5" queryTableFieldId="13" dataDxfId="90"/>
    <tableColumn id="14" xr3:uid="{BCB9C9F3-DFF8-4C78-83FD-4F969A4DDC23}" uniqueName="14" name="Content.CP6" queryTableFieldId="14" dataDxfId="89"/>
    <tableColumn id="15" xr3:uid="{C398E147-5C88-4DD9-88AA-8E30EF5B9479}" uniqueName="15" name="Content.EA1" queryTableFieldId="15" dataDxfId="88"/>
    <tableColumn id="16" xr3:uid="{B230521A-0CDF-4A6B-9D5E-3A320DA16B41}" uniqueName="16" name="Content.EA2" queryTableFieldId="16" dataDxfId="87"/>
    <tableColumn id="17" xr3:uid="{83A1B36F-39BB-4851-AC09-ACB404EC61B4}" uniqueName="17" name="Content.EA3" queryTableFieldId="17" dataDxfId="86"/>
    <tableColumn id="18" xr3:uid="{F0BA4389-E66D-4182-B3FB-7B0BDD60BB5F}" uniqueName="18" name="Content.EA4" queryTableFieldId="18" dataDxfId="85"/>
    <tableColumn id="19" xr3:uid="{77EF5501-66A6-4AD5-B581-B1863B5B6FD9}" uniqueName="19" name="Content.EA5" queryTableFieldId="19" dataDxfId="84"/>
    <tableColumn id="20" xr3:uid="{86CB1C8B-2D0F-4112-880F-7D3F334BB99C}" uniqueName="20" name="Content.EA6" queryTableFieldId="20" dataDxfId="83"/>
    <tableColumn id="21" xr3:uid="{8506ADBE-D090-4B24-8584-E7301D77C5EE}" uniqueName="21" name="Content.MPT" queryTableFieldId="21" dataDxfId="82"/>
    <tableColumn id="22" xr3:uid="{2D7102E0-7A41-477B-A092-42E046DA6EBA}" uniqueName="22" name="Content.MEXC" queryTableFieldId="22" dataDxfId="81"/>
    <tableColumn id="23" xr3:uid="{4873F5ED-9B39-43C9-92C5-0F510493009C}" uniqueName="23" name="Content.CP7" queryTableFieldId="23" dataDxfId="80"/>
    <tableColumn id="24" xr3:uid="{90B4C421-3B01-4292-8152-92C0E4E295A8}" uniqueName="24" name="Content.CP8" queryTableFieldId="24" dataDxfId="79"/>
    <tableColumn id="25" xr3:uid="{8A110728-53AC-46F8-8FF8-9445B29EEB11}" uniqueName="25" name="Content.CP9" queryTableFieldId="25" dataDxfId="78"/>
    <tableColumn id="26" xr3:uid="{A9C5A534-B2D2-4355-BBD9-B27D3510C354}" uniqueName="26" name="Content.CP10" queryTableFieldId="26" dataDxfId="77"/>
    <tableColumn id="27" xr3:uid="{4A96AA67-710E-47CA-9683-EBA7B1DC3366}" uniqueName="27" name="Content.CP11" queryTableFieldId="27" dataDxfId="76"/>
    <tableColumn id="28" xr3:uid="{6AE9A8BA-EBDF-401D-A21C-82AF08A6F3EB}" uniqueName="28" name="Content.CP12" queryTableFieldId="28" dataDxfId="75"/>
    <tableColumn id="29" xr3:uid="{F796B0A3-A2E4-4D77-958E-83C169273EED}" uniqueName="29" name="Content.EA7" queryTableFieldId="29" dataDxfId="74"/>
    <tableColumn id="30" xr3:uid="{E318D994-A767-4CA7-8216-7F7EABDC98FB}" uniqueName="30" name="Content.EA8" queryTableFieldId="30" dataDxfId="73"/>
    <tableColumn id="31" xr3:uid="{366BEECA-F2AC-4731-8F99-89D90A7EF962}" uniqueName="31" name="Content.EA9" queryTableFieldId="31" dataDxfId="72"/>
    <tableColumn id="32" xr3:uid="{1A753697-C3C8-4150-A7D0-9AF270FFC4B9}" uniqueName="32" name="Content.EA10" queryTableFieldId="32" dataDxfId="71"/>
    <tableColumn id="33" xr3:uid="{A57B111E-A18F-4EE5-B5EC-42B3A85BBF10}" uniqueName="33" name="Content.EA11" queryTableFieldId="33" dataDxfId="70"/>
    <tableColumn id="34" xr3:uid="{6CB64F69-6B5D-4AD8-A75D-179B1DBFD649}" uniqueName="34" name="Content.EA12" queryTableFieldId="34" dataDxfId="69"/>
    <tableColumn id="35" xr3:uid="{1A271A00-1D4D-4ACD-8C4E-21A106EBF4F1}" uniqueName="35" name="Content.FPT" queryTableFieldId="35" dataDxfId="68"/>
    <tableColumn id="36" xr3:uid="{49EBB8F0-1098-4C34-A8AB-9A99D1B3E1E9}" uniqueName="36" name="Content.FEXC" queryTableFieldId="36" dataDxfId="67"/>
    <tableColumn id="37" xr3:uid="{3D8DAB33-1A08-4B8E-B276-47C826965868}" uniqueName="37" name="Content.Remarks" queryTableFieldId="37" dataDxfId="66"/>
    <tableColumn id="38" xr3:uid="{FF685493-5A2D-4ADF-8C38-9278BAF905D8}" uniqueName="38" name="Content.Section" queryTableFieldId="38" dataDxfId="65"/>
    <tableColumn id="39" xr3:uid="{CE38FA96-DD14-4548-950F-CED3F67AFD71}" uniqueName="39" name="Content.%MidtermCP" queryTableFieldId="39" dataDxfId="64"/>
    <tableColumn id="40" xr3:uid="{5664736A-BA42-4AA4-874E-84DD952CC1F7}" uniqueName="40" name="Content.%MidtermEA" queryTableFieldId="40" dataDxfId="63"/>
    <tableColumn id="41" xr3:uid="{368CB652-96CF-4DFE-B999-C624C3A98E15}" uniqueName="41" name="Content.%MidtermMPT" queryTableFieldId="41" dataDxfId="62"/>
    <tableColumn id="42" xr3:uid="{D145B8CF-DA3C-4BBA-B4FA-C3D04AB852F4}" uniqueName="42" name="Content.%MidtermExC" queryTableFieldId="42" dataDxfId="61"/>
    <tableColumn id="43" xr3:uid="{E25326E3-BE92-4BD3-B850-04CFD2DAF9A4}" uniqueName="43" name="Content.%FinalsCP" queryTableFieldId="43" dataDxfId="60"/>
    <tableColumn id="44" xr3:uid="{10403EE1-34BF-4A41-BDA3-B2D8A6FC034E}" uniqueName="44" name="Content.%FinalsEA" queryTableFieldId="44" dataDxfId="59"/>
    <tableColumn id="45" xr3:uid="{15EEDD1F-5652-4B5F-BA02-8ADF1E25733D}" uniqueName="45" name="Content.%FinalsFPT" queryTableFieldId="45" dataDxfId="58"/>
    <tableColumn id="46" xr3:uid="{71C7B38D-A3E6-48FC-9E56-1735F42C415A}" uniqueName="46" name="Content.%FinalsMPT" queryTableFieldId="46" dataDxfId="57"/>
    <tableColumn id="47" xr3:uid="{4390A864-F1BF-428C-BF75-025345B18163}" uniqueName="47" name="Content.%FinalsExC" queryTableFieldId="47" dataDxfId="56"/>
    <tableColumn id="48" xr3:uid="{578A4682-DD01-43D6-8866-D9E21E0B1615}" uniqueName="48" name="Content.NCP1" queryTableFieldId="48" dataDxfId="55"/>
    <tableColumn id="49" xr3:uid="{0ADB5D88-1744-441B-8B90-5FB61C26CB04}" uniqueName="49" name="Content.NCP2" queryTableFieldId="49" dataDxfId="54"/>
    <tableColumn id="50" xr3:uid="{C8DCB866-FF62-4DDF-BFA1-29F12A67B65F}" uniqueName="50" name="Content.NCP3" queryTableFieldId="50" dataDxfId="53"/>
    <tableColumn id="51" xr3:uid="{42C80EC5-AD77-4A4F-8200-63B5ECC9C4D8}" uniqueName="51" name="Content.NCP4" queryTableFieldId="51" dataDxfId="52"/>
    <tableColumn id="52" xr3:uid="{2AEFBD9D-9467-4A79-AE59-DE7D7332165C}" uniqueName="52" name="Content.NCP5" queryTableFieldId="52" dataDxfId="51"/>
    <tableColumn id="53" xr3:uid="{44E29B07-D415-4E20-BA85-664032AADD41}" uniqueName="53" name="Content.NCP6" queryTableFieldId="53" dataDxfId="50"/>
    <tableColumn id="54" xr3:uid="{7EF6B30D-2ED4-45A3-A647-4611DFE4F14E}" uniqueName="54" name="Content.SCP1" queryTableFieldId="54" dataDxfId="49"/>
    <tableColumn id="55" xr3:uid="{1C9B5C22-38B9-4851-81DD-49917D3497CC}" uniqueName="55" name="Content.SCP2" queryTableFieldId="55" dataDxfId="48"/>
    <tableColumn id="56" xr3:uid="{C3BDB7DB-A723-4ACF-8DDC-38C18A39925C}" uniqueName="56" name="Content.SCP3" queryTableFieldId="56" dataDxfId="47"/>
    <tableColumn id="57" xr3:uid="{D5E50E1D-F6D7-4300-A269-295FB24B74FD}" uniqueName="57" name="Content.SCP4" queryTableFieldId="57" dataDxfId="46"/>
    <tableColumn id="58" xr3:uid="{BCAB8827-795C-4E7E-A71B-A5246C57AAE0}" uniqueName="58" name="Content.SCP5" queryTableFieldId="58" dataDxfId="45"/>
    <tableColumn id="59" xr3:uid="{93417A68-0D19-45A9-8045-EB4FA9070061}" uniqueName="59" name="Content.SCP6" queryTableFieldId="59" dataDxfId="44"/>
    <tableColumn id="60" xr3:uid="{0145EE8C-DEB8-44D1-8CC9-95FD799033ED}" uniqueName="60" name="Content.NEA1" queryTableFieldId="60" dataDxfId="43"/>
    <tableColumn id="61" xr3:uid="{E2F82F65-3979-4CC8-96BF-2C860743E24A}" uniqueName="61" name="Content.NEA2" queryTableFieldId="61" dataDxfId="42"/>
    <tableColumn id="62" xr3:uid="{21EFC364-EEC2-4314-A3AC-930BE6E68C56}" uniqueName="62" name="Content.NEA3" queryTableFieldId="62" dataDxfId="41"/>
    <tableColumn id="63" xr3:uid="{E92E4F50-2CAB-4B3D-95A9-EC5F0C944F26}" uniqueName="63" name="Content.NEA4" queryTableFieldId="63" dataDxfId="40"/>
    <tableColumn id="64" xr3:uid="{CDFCAEA4-8C7C-48C2-AAEC-30F76484E955}" uniqueName="64" name="Content.NEA5" queryTableFieldId="64" dataDxfId="39"/>
    <tableColumn id="65" xr3:uid="{78CB0AA2-26B8-448D-B7C4-6B3D8E7571C0}" uniqueName="65" name="Content.NEA6" queryTableFieldId="65" dataDxfId="38"/>
    <tableColumn id="66" xr3:uid="{D6489F63-433F-4744-B91D-C945966F79DA}" uniqueName="66" name="Content.SEA1" queryTableFieldId="66" dataDxfId="37"/>
    <tableColumn id="67" xr3:uid="{AD3ED8DD-C802-4589-8FCA-36F573BF4567}" uniqueName="67" name="Content.SEA2" queryTableFieldId="67" dataDxfId="36"/>
    <tableColumn id="68" xr3:uid="{0033E3C3-FC01-48D5-ABC1-1D67D472115F}" uniqueName="68" name="Content.SEA3" queryTableFieldId="68" dataDxfId="35"/>
    <tableColumn id="69" xr3:uid="{68F6A2BD-08A1-41EE-9427-2D0A1642E8AE}" uniqueName="69" name="Content.SEA4" queryTableFieldId="69" dataDxfId="34"/>
    <tableColumn id="70" xr3:uid="{4660575D-F43E-45DD-841E-27C07A1E1989}" uniqueName="70" name="Content.SEA5" queryTableFieldId="70" dataDxfId="33"/>
    <tableColumn id="71" xr3:uid="{CF4FB11E-B0C8-4988-8ADB-8FED6D9BDFE3}" uniqueName="71" name="Content.SEA6" queryTableFieldId="71" dataDxfId="32"/>
    <tableColumn id="72" xr3:uid="{BD1F6D33-D73F-4829-8DF7-4C75F270B6FD}" uniqueName="72" name="Content.NMPT" queryTableFieldId="72" dataDxfId="31"/>
    <tableColumn id="73" xr3:uid="{C66DA8E7-78F8-4D74-A035-11108DB7AEC5}" uniqueName="73" name="Content.SMPT" queryTableFieldId="73" dataDxfId="30"/>
    <tableColumn id="74" xr3:uid="{13355135-B9E2-4DB0-99E7-66AC4AD8F0E8}" uniqueName="74" name="Content.SMEXC" queryTableFieldId="74" dataDxfId="29"/>
    <tableColumn id="75" xr3:uid="{C26B4AE8-422F-41C1-9D16-35AD764DDFD9}" uniqueName="75" name="Content.NMEXC" queryTableFieldId="75" dataDxfId="28"/>
    <tableColumn id="76" xr3:uid="{0BC760D6-0931-4CE6-9602-4A4F784D40EB}" uniqueName="76" name="Content.NCP7" queryTableFieldId="76" dataDxfId="27"/>
    <tableColumn id="77" xr3:uid="{1B78C415-525B-4FAC-85E8-14916880A25B}" uniqueName="77" name="Content.NCP8" queryTableFieldId="77" dataDxfId="26"/>
    <tableColumn id="78" xr3:uid="{D9147839-2AE6-480F-A061-1B7D11DB5598}" uniqueName="78" name="Content.NCP9" queryTableFieldId="78" dataDxfId="25"/>
    <tableColumn id="79" xr3:uid="{EC82ACBB-6A2A-4A1E-89DA-BC51BBBDC874}" uniqueName="79" name="Content.NCP10" queryTableFieldId="79" dataDxfId="24"/>
    <tableColumn id="80" xr3:uid="{F5377754-85BB-4AF6-A63E-B82245B737B1}" uniqueName="80" name="Content.NCP11" queryTableFieldId="80" dataDxfId="23"/>
    <tableColumn id="81" xr3:uid="{49513F9E-18A6-4BA2-B634-516D5AFFF44F}" uniqueName="81" name="Content.NCP12" queryTableFieldId="81" dataDxfId="22"/>
    <tableColumn id="82" xr3:uid="{9D1B5256-0B75-4563-B1A1-B1067CFC0981}" uniqueName="82" name="Content.SCP7" queryTableFieldId="82" dataDxfId="21"/>
    <tableColumn id="83" xr3:uid="{9B3A3503-4328-466D-88BE-EC6B44ECD367}" uniqueName="83" name="Content.SCP8" queryTableFieldId="83" dataDxfId="20"/>
    <tableColumn id="84" xr3:uid="{BEE020FC-1973-4FC6-8065-89D71331325F}" uniqueName="84" name="Content.SCP9" queryTableFieldId="84" dataDxfId="19"/>
    <tableColumn id="85" xr3:uid="{1DC6FB44-26F5-47FB-8393-B66BEA6AB6E7}" uniqueName="85" name="Content.SCP10" queryTableFieldId="85" dataDxfId="18"/>
    <tableColumn id="86" xr3:uid="{4236E79E-98BF-451C-8ADF-C7612C988AC9}" uniqueName="86" name="Content.SCP11" queryTableFieldId="86" dataDxfId="17"/>
    <tableColumn id="87" xr3:uid="{97CD6DA1-70A3-4B45-B289-C32C50E1AA7A}" uniqueName="87" name="Content.SCP12" queryTableFieldId="87" dataDxfId="16"/>
    <tableColumn id="88" xr3:uid="{EA5BEDC3-6F0A-463D-8C4F-85BE3567AC1A}" uniqueName="88" name="Content.NEA7" queryTableFieldId="88" dataDxfId="15"/>
    <tableColumn id="89" xr3:uid="{F12677C6-AA74-4F44-8CD6-34B6BACBD68C}" uniqueName="89" name="Content.NEA8" queryTableFieldId="89" dataDxfId="14"/>
    <tableColumn id="90" xr3:uid="{88554D64-D5CD-4A91-8EF5-3194D212397F}" uniqueName="90" name="Content.NEA9" queryTableFieldId="90" dataDxfId="13"/>
    <tableColumn id="91" xr3:uid="{93EC40F8-F9BF-4CA8-9591-36671CBC6171}" uniqueName="91" name="Content.NEA10" queryTableFieldId="91" dataDxfId="12"/>
    <tableColumn id="92" xr3:uid="{6CD22174-875A-429F-B381-262F0D1C0CDE}" uniqueName="92" name="Content.NEA11" queryTableFieldId="92" dataDxfId="11"/>
    <tableColumn id="93" xr3:uid="{FEB67D6E-A0DF-4077-9963-2A9E830F81D8}" uniqueName="93" name="Content.NEA12" queryTableFieldId="93" dataDxfId="10"/>
    <tableColumn id="94" xr3:uid="{718E8AF3-B221-4E68-9986-E9487442F553}" uniqueName="94" name="Content.SEA7" queryTableFieldId="94" dataDxfId="9"/>
    <tableColumn id="95" xr3:uid="{58A03A3E-BF72-4059-A4AD-B5CA96B2A78C}" uniqueName="95" name="Content.SEA8" queryTableFieldId="95" dataDxfId="8"/>
    <tableColumn id="96" xr3:uid="{A1D8F162-E566-4539-A9EB-94CBCC6B7F11}" uniqueName="96" name="Content.SEA9" queryTableFieldId="96" dataDxfId="7"/>
    <tableColumn id="97" xr3:uid="{95DBFA21-0E9D-4702-BC15-AFE13EAB495A}" uniqueName="97" name="Content.SEA10" queryTableFieldId="97" dataDxfId="6"/>
    <tableColumn id="98" xr3:uid="{E8DEC6D7-DDA7-493A-881B-1C6EFF074852}" uniqueName="98" name="Content.SEA11" queryTableFieldId="98" dataDxfId="5"/>
    <tableColumn id="99" xr3:uid="{20E3FB22-9CFB-4644-A4C6-30645ECFE269}" uniqueName="99" name="Content.SEA12" queryTableFieldId="99" dataDxfId="4"/>
    <tableColumn id="100" xr3:uid="{8E87F8C9-2EB7-4969-A93F-2D166F9829A4}" uniqueName="100" name="Content.SFPT" queryTableFieldId="100" dataDxfId="3"/>
    <tableColumn id="101" xr3:uid="{D56F60D4-97AA-4200-ADC1-1167C532A4E9}" uniqueName="101" name="Content.NFPT" queryTableFieldId="101" dataDxfId="2"/>
    <tableColumn id="102" xr3:uid="{AE0351F2-F3F0-4C27-A82A-73988E423CFA}" uniqueName="102" name="Content.NFEXC" queryTableFieldId="102" dataDxfId="1"/>
    <tableColumn id="103" xr3:uid="{9B21A804-7D17-4EA7-B354-92FF9B5C7388}" uniqueName="103" name="Content.SFEXC" queryTableFieldId="10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8CD9-9438-4F5B-92A5-BD95A077061F}">
  <sheetPr codeName="Sheet1"/>
  <dimension ref="A1:W31"/>
  <sheetViews>
    <sheetView showGridLines="0" tabSelected="1" topLeftCell="E15" zoomScaleNormal="100" workbookViewId="0">
      <selection activeCell="P22" sqref="P22:Q22"/>
    </sheetView>
  </sheetViews>
  <sheetFormatPr baseColWidth="10" defaultColWidth="8.83203125" defaultRowHeight="15" x14ac:dyDescent="0.2"/>
  <cols>
    <col min="1" max="1" width="4.83203125" customWidth="1"/>
    <col min="2" max="3" width="2.5" customWidth="1"/>
    <col min="4" max="4" width="8" bestFit="1" customWidth="1"/>
    <col min="5" max="6" width="9.5" customWidth="1"/>
    <col min="7" max="8" width="9.83203125" customWidth="1"/>
    <col min="9" max="13" width="9.5" customWidth="1"/>
    <col min="19" max="19" width="6.5" customWidth="1"/>
    <col min="20" max="20" width="14.5" bestFit="1" customWidth="1"/>
    <col min="22" max="22" width="4.1640625" customWidth="1"/>
  </cols>
  <sheetData>
    <row r="1" spans="1:23" ht="17" thickBo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 ht="16" x14ac:dyDescent="0.2">
      <c r="A2" s="2"/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5"/>
      <c r="W2" s="2"/>
    </row>
    <row r="3" spans="1:23" ht="16" x14ac:dyDescent="0.2">
      <c r="A3" s="2"/>
      <c r="B3" s="6"/>
      <c r="C3" s="7"/>
      <c r="D3" s="8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9"/>
      <c r="U3" s="2"/>
      <c r="V3" s="10"/>
      <c r="W3" s="2"/>
    </row>
    <row r="4" spans="1:23" ht="16" x14ac:dyDescent="0.2">
      <c r="A4" s="2"/>
      <c r="B4" s="6"/>
      <c r="C4" s="7"/>
      <c r="D4" s="8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9"/>
      <c r="U4" s="2"/>
      <c r="V4" s="10"/>
      <c r="W4" s="2"/>
    </row>
    <row r="5" spans="1:23" ht="16" x14ac:dyDescent="0.2">
      <c r="A5" s="2"/>
      <c r="B5" s="6"/>
      <c r="C5" s="7"/>
      <c r="D5" s="8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9"/>
      <c r="U5" s="2"/>
      <c r="V5" s="10"/>
      <c r="W5" s="2"/>
    </row>
    <row r="6" spans="1:23" ht="16" x14ac:dyDescent="0.2">
      <c r="A6" s="2"/>
      <c r="B6" s="6"/>
      <c r="C6" s="7"/>
      <c r="D6" s="8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10"/>
      <c r="W6" s="2"/>
    </row>
    <row r="7" spans="1:23" ht="16" x14ac:dyDescent="0.2">
      <c r="A7" s="2"/>
      <c r="B7" s="6"/>
      <c r="C7" s="7"/>
      <c r="D7" s="8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10"/>
      <c r="W7" s="2"/>
    </row>
    <row r="8" spans="1:23" ht="16" x14ac:dyDescent="0.2">
      <c r="A8" s="2"/>
      <c r="B8" s="6"/>
      <c r="C8" s="7"/>
      <c r="D8" s="8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10"/>
      <c r="W8" s="2"/>
    </row>
    <row r="9" spans="1:23" ht="16" x14ac:dyDescent="0.2">
      <c r="A9" s="2"/>
      <c r="B9" s="6"/>
      <c r="C9" s="7"/>
      <c r="D9" s="8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10"/>
      <c r="W9" s="2"/>
    </row>
    <row r="10" spans="1:23" ht="16" x14ac:dyDescent="0.2">
      <c r="A10" s="2"/>
      <c r="B10" s="6"/>
      <c r="C10" s="7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10"/>
      <c r="W10" s="2"/>
    </row>
    <row r="11" spans="1:23" ht="25" x14ac:dyDescent="0.25">
      <c r="A11" s="2"/>
      <c r="B11" s="6"/>
      <c r="C11" s="191" t="s">
        <v>0</v>
      </c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0"/>
      <c r="W11" s="2"/>
    </row>
    <row r="12" spans="1:23" ht="25.5" customHeight="1" x14ac:dyDescent="0.2">
      <c r="A12" s="2"/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10"/>
      <c r="W12" s="2"/>
    </row>
    <row r="13" spans="1:23" ht="22" customHeight="1" x14ac:dyDescent="0.2">
      <c r="A13" s="2"/>
      <c r="B13" s="6"/>
      <c r="C13" s="192" t="s">
        <v>294</v>
      </c>
      <c r="D13" s="192"/>
      <c r="E13" s="192"/>
      <c r="F13" s="192"/>
      <c r="G13" s="192"/>
      <c r="H13" s="192"/>
      <c r="I13" s="192"/>
      <c r="J13" s="192"/>
      <c r="K13" s="192"/>
      <c r="L13" s="2"/>
      <c r="M13" s="192" t="s">
        <v>295</v>
      </c>
      <c r="N13" s="192"/>
      <c r="O13" s="192"/>
      <c r="P13" s="192"/>
      <c r="Q13" s="11"/>
      <c r="R13" s="193" t="s">
        <v>277</v>
      </c>
      <c r="S13" s="192"/>
      <c r="T13" s="192"/>
      <c r="U13" s="192"/>
      <c r="V13" s="10"/>
      <c r="W13" s="2"/>
    </row>
    <row r="14" spans="1:23" ht="21" customHeight="1" x14ac:dyDescent="0.2">
      <c r="A14" s="2"/>
      <c r="B14" s="6"/>
      <c r="C14" s="194" t="s">
        <v>2</v>
      </c>
      <c r="D14" s="194"/>
      <c r="E14" s="194"/>
      <c r="F14" s="194"/>
      <c r="G14" s="194"/>
      <c r="H14" s="194"/>
      <c r="I14" s="194"/>
      <c r="J14" s="194"/>
      <c r="K14" s="194"/>
      <c r="L14" s="2"/>
      <c r="M14" s="195" t="s">
        <v>3</v>
      </c>
      <c r="N14" s="195"/>
      <c r="O14" s="195"/>
      <c r="P14" s="195"/>
      <c r="Q14" s="11"/>
      <c r="R14" s="195" t="s">
        <v>4</v>
      </c>
      <c r="S14" s="195"/>
      <c r="T14" s="195"/>
      <c r="U14" s="195"/>
      <c r="V14" s="10"/>
      <c r="W14" s="2"/>
    </row>
    <row r="15" spans="1:23" ht="22" customHeight="1" x14ac:dyDescent="0.2">
      <c r="A15" s="2"/>
      <c r="B15" s="6"/>
      <c r="C15" s="192" t="s">
        <v>5</v>
      </c>
      <c r="D15" s="192"/>
      <c r="E15" s="192"/>
      <c r="F15" s="192"/>
      <c r="G15" s="192"/>
      <c r="H15" s="192"/>
      <c r="I15" s="192"/>
      <c r="J15" s="192"/>
      <c r="K15" s="192"/>
      <c r="L15" s="2"/>
      <c r="M15" s="192" t="s">
        <v>6</v>
      </c>
      <c r="N15" s="192"/>
      <c r="O15" s="192"/>
      <c r="P15" s="192"/>
      <c r="Q15" s="192"/>
      <c r="R15" s="192"/>
      <c r="S15" s="192"/>
      <c r="T15" s="192"/>
      <c r="U15" s="192"/>
      <c r="V15" s="10"/>
      <c r="W15" s="2"/>
    </row>
    <row r="16" spans="1:23" ht="16" x14ac:dyDescent="0.2">
      <c r="A16" s="2"/>
      <c r="B16" s="6"/>
      <c r="C16" s="194" t="s">
        <v>7</v>
      </c>
      <c r="D16" s="194"/>
      <c r="E16" s="194"/>
      <c r="F16" s="194"/>
      <c r="G16" s="194"/>
      <c r="H16" s="194"/>
      <c r="I16" s="194"/>
      <c r="J16" s="194"/>
      <c r="K16" s="194"/>
      <c r="L16" s="2"/>
      <c r="M16" s="194" t="s">
        <v>8</v>
      </c>
      <c r="N16" s="194"/>
      <c r="O16" s="194"/>
      <c r="P16" s="194"/>
      <c r="Q16" s="194"/>
      <c r="R16" s="194"/>
      <c r="S16" s="194"/>
      <c r="T16" s="194"/>
      <c r="U16" s="194"/>
      <c r="V16" s="10"/>
      <c r="W16" s="2"/>
    </row>
    <row r="17" spans="1:23" ht="17" thickBot="1" x14ac:dyDescent="0.25">
      <c r="A17" s="2"/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10"/>
      <c r="W17" s="2"/>
    </row>
    <row r="18" spans="1:23" ht="17" thickBot="1" x14ac:dyDescent="0.25">
      <c r="A18" s="2"/>
      <c r="B18" s="6"/>
      <c r="C18" s="2"/>
      <c r="D18" s="12" t="s">
        <v>9</v>
      </c>
      <c r="E18" s="199" t="s">
        <v>10</v>
      </c>
      <c r="F18" s="200"/>
      <c r="G18" s="199" t="s">
        <v>11</v>
      </c>
      <c r="H18" s="200"/>
      <c r="I18" s="199" t="s">
        <v>12</v>
      </c>
      <c r="J18" s="206"/>
      <c r="K18" s="206"/>
      <c r="L18" s="206"/>
      <c r="M18" s="200"/>
      <c r="N18" s="199" t="s">
        <v>13</v>
      </c>
      <c r="O18" s="200"/>
      <c r="P18" s="199" t="s">
        <v>14</v>
      </c>
      <c r="Q18" s="200"/>
      <c r="R18" s="199" t="s">
        <v>15</v>
      </c>
      <c r="S18" s="200"/>
      <c r="T18" s="12" t="s">
        <v>16</v>
      </c>
      <c r="U18" s="21" t="s">
        <v>17</v>
      </c>
      <c r="V18" s="10"/>
      <c r="W18" s="2"/>
    </row>
    <row r="19" spans="1:23" ht="25.5" customHeight="1" thickBot="1" x14ac:dyDescent="0.25">
      <c r="A19" s="2"/>
      <c r="B19" s="6"/>
      <c r="C19" s="2"/>
      <c r="D19" s="13">
        <v>1</v>
      </c>
      <c r="E19" s="196" t="s">
        <v>18</v>
      </c>
      <c r="F19" s="197"/>
      <c r="G19" s="196" t="s">
        <v>296</v>
      </c>
      <c r="H19" s="197"/>
      <c r="I19" s="196" t="s">
        <v>297</v>
      </c>
      <c r="J19" s="198"/>
      <c r="K19" s="198"/>
      <c r="L19" s="198"/>
      <c r="M19" s="197"/>
      <c r="N19" s="196" t="s">
        <v>19</v>
      </c>
      <c r="O19" s="197"/>
      <c r="P19" s="196" t="s">
        <v>20</v>
      </c>
      <c r="Q19" s="197"/>
      <c r="R19" s="196"/>
      <c r="S19" s="197"/>
      <c r="T19" s="22" t="s">
        <v>21</v>
      </c>
      <c r="U19" s="14">
        <v>3</v>
      </c>
      <c r="V19" s="10"/>
      <c r="W19" s="2"/>
    </row>
    <row r="20" spans="1:23" ht="25.5" customHeight="1" thickTop="1" thickBot="1" x14ac:dyDescent="0.25">
      <c r="A20" s="2"/>
      <c r="B20" s="6"/>
      <c r="C20" s="2"/>
      <c r="D20" s="15">
        <v>2</v>
      </c>
      <c r="E20" s="201"/>
      <c r="F20" s="202"/>
      <c r="G20" s="201"/>
      <c r="H20" s="202"/>
      <c r="I20" s="201"/>
      <c r="J20" s="203"/>
      <c r="K20" s="203"/>
      <c r="L20" s="203"/>
      <c r="M20" s="202"/>
      <c r="N20" s="201"/>
      <c r="O20" s="202"/>
      <c r="P20" s="201"/>
      <c r="Q20" s="202"/>
      <c r="R20" s="201"/>
      <c r="S20" s="202"/>
      <c r="T20" s="23"/>
      <c r="U20" s="16"/>
      <c r="V20" s="10"/>
      <c r="W20" s="2"/>
    </row>
    <row r="21" spans="1:23" ht="25.5" customHeight="1" thickTop="1" thickBot="1" x14ac:dyDescent="0.25">
      <c r="A21" s="2"/>
      <c r="B21" s="6"/>
      <c r="C21" s="2"/>
      <c r="D21" s="15">
        <v>3</v>
      </c>
      <c r="E21" s="201"/>
      <c r="F21" s="202"/>
      <c r="G21" s="201"/>
      <c r="H21" s="202"/>
      <c r="I21" s="201"/>
      <c r="J21" s="203"/>
      <c r="K21" s="203"/>
      <c r="L21" s="203"/>
      <c r="M21" s="202"/>
      <c r="N21" s="201"/>
      <c r="O21" s="202"/>
      <c r="P21" s="201"/>
      <c r="Q21" s="202"/>
      <c r="R21" s="201"/>
      <c r="S21" s="202"/>
      <c r="T21" s="23"/>
      <c r="U21" s="16"/>
      <c r="V21" s="10"/>
      <c r="W21" s="2"/>
    </row>
    <row r="22" spans="1:23" ht="25.5" customHeight="1" thickTop="1" thickBot="1" x14ac:dyDescent="0.25">
      <c r="A22" s="2"/>
      <c r="B22" s="6"/>
      <c r="C22" s="2"/>
      <c r="D22" s="15">
        <v>4</v>
      </c>
      <c r="E22" s="201"/>
      <c r="F22" s="202"/>
      <c r="G22" s="201"/>
      <c r="H22" s="202"/>
      <c r="I22" s="201"/>
      <c r="J22" s="203"/>
      <c r="K22" s="203"/>
      <c r="L22" s="203"/>
      <c r="M22" s="202"/>
      <c r="N22" s="201"/>
      <c r="O22" s="202"/>
      <c r="P22" s="201"/>
      <c r="Q22" s="202"/>
      <c r="R22" s="201"/>
      <c r="S22" s="202"/>
      <c r="T22" s="23"/>
      <c r="U22" s="16"/>
      <c r="V22" s="10"/>
      <c r="W22" s="2"/>
    </row>
    <row r="23" spans="1:23" ht="25.5" customHeight="1" thickTop="1" thickBot="1" x14ac:dyDescent="0.25">
      <c r="A23" s="2"/>
      <c r="B23" s="6"/>
      <c r="C23" s="2"/>
      <c r="D23" s="15">
        <v>5</v>
      </c>
      <c r="E23" s="201"/>
      <c r="F23" s="202"/>
      <c r="G23" s="201"/>
      <c r="H23" s="202"/>
      <c r="I23" s="201"/>
      <c r="J23" s="203"/>
      <c r="K23" s="203"/>
      <c r="L23" s="203"/>
      <c r="M23" s="202"/>
      <c r="N23" s="201"/>
      <c r="O23" s="202"/>
      <c r="P23" s="201"/>
      <c r="Q23" s="202"/>
      <c r="R23" s="201"/>
      <c r="S23" s="202"/>
      <c r="T23" s="23"/>
      <c r="U23" s="16"/>
      <c r="V23" s="10"/>
      <c r="W23" s="2"/>
    </row>
    <row r="24" spans="1:23" ht="25.5" customHeight="1" thickTop="1" thickBot="1" x14ac:dyDescent="0.25">
      <c r="A24" s="2"/>
      <c r="B24" s="6"/>
      <c r="C24" s="2"/>
      <c r="D24" s="15">
        <v>6</v>
      </c>
      <c r="E24" s="201"/>
      <c r="F24" s="202"/>
      <c r="G24" s="201"/>
      <c r="H24" s="202"/>
      <c r="I24" s="201"/>
      <c r="J24" s="203"/>
      <c r="K24" s="203"/>
      <c r="L24" s="203"/>
      <c r="M24" s="202"/>
      <c r="N24" s="201"/>
      <c r="O24" s="202"/>
      <c r="P24" s="201"/>
      <c r="Q24" s="202"/>
      <c r="R24" s="201"/>
      <c r="S24" s="202"/>
      <c r="T24" s="23"/>
      <c r="U24" s="16"/>
      <c r="V24" s="10"/>
      <c r="W24" s="2"/>
    </row>
    <row r="25" spans="1:23" ht="25.5" customHeight="1" thickTop="1" thickBot="1" x14ac:dyDescent="0.25">
      <c r="A25" s="2"/>
      <c r="B25" s="6"/>
      <c r="C25" s="2"/>
      <c r="D25" s="15">
        <v>7</v>
      </c>
      <c r="E25" s="201"/>
      <c r="F25" s="202"/>
      <c r="G25" s="201"/>
      <c r="H25" s="202"/>
      <c r="I25" s="201"/>
      <c r="J25" s="203"/>
      <c r="K25" s="203"/>
      <c r="L25" s="203"/>
      <c r="M25" s="202"/>
      <c r="N25" s="201"/>
      <c r="O25" s="202"/>
      <c r="P25" s="201"/>
      <c r="Q25" s="202"/>
      <c r="R25" s="201"/>
      <c r="S25" s="202"/>
      <c r="T25" s="23"/>
      <c r="U25" s="16"/>
      <c r="V25" s="10"/>
      <c r="W25" s="2"/>
    </row>
    <row r="26" spans="1:23" ht="25.5" customHeight="1" thickTop="1" thickBot="1" x14ac:dyDescent="0.25">
      <c r="A26" s="2"/>
      <c r="B26" s="6"/>
      <c r="C26" s="2"/>
      <c r="D26" s="15">
        <v>8</v>
      </c>
      <c r="E26" s="201"/>
      <c r="F26" s="202"/>
      <c r="G26" s="201"/>
      <c r="H26" s="202"/>
      <c r="I26" s="201"/>
      <c r="J26" s="203"/>
      <c r="K26" s="203"/>
      <c r="L26" s="203"/>
      <c r="M26" s="202"/>
      <c r="N26" s="201"/>
      <c r="O26" s="202"/>
      <c r="P26" s="201"/>
      <c r="Q26" s="202"/>
      <c r="R26" s="201"/>
      <c r="S26" s="202"/>
      <c r="T26" s="23"/>
      <c r="U26" s="16"/>
      <c r="V26" s="10"/>
      <c r="W26" s="2"/>
    </row>
    <row r="27" spans="1:23" ht="25.5" customHeight="1" thickTop="1" thickBot="1" x14ac:dyDescent="0.25">
      <c r="A27" s="2"/>
      <c r="B27" s="6"/>
      <c r="C27" s="2"/>
      <c r="D27" s="15">
        <v>9</v>
      </c>
      <c r="E27" s="201"/>
      <c r="F27" s="202"/>
      <c r="G27" s="201"/>
      <c r="H27" s="202"/>
      <c r="I27" s="201"/>
      <c r="J27" s="203"/>
      <c r="K27" s="203"/>
      <c r="L27" s="203"/>
      <c r="M27" s="202"/>
      <c r="N27" s="201"/>
      <c r="O27" s="202"/>
      <c r="P27" s="201"/>
      <c r="Q27" s="202"/>
      <c r="R27" s="201"/>
      <c r="S27" s="202"/>
      <c r="T27" s="23"/>
      <c r="U27" s="16"/>
      <c r="V27" s="10"/>
      <c r="W27" s="2"/>
    </row>
    <row r="28" spans="1:23" ht="25.5" customHeight="1" thickTop="1" thickBot="1" x14ac:dyDescent="0.25">
      <c r="A28" s="2"/>
      <c r="B28" s="6"/>
      <c r="C28" s="2"/>
      <c r="D28" s="17">
        <v>10</v>
      </c>
      <c r="E28" s="207"/>
      <c r="F28" s="208"/>
      <c r="G28" s="207"/>
      <c r="H28" s="208"/>
      <c r="I28" s="207"/>
      <c r="J28" s="209"/>
      <c r="K28" s="209"/>
      <c r="L28" s="209"/>
      <c r="M28" s="208"/>
      <c r="N28" s="207"/>
      <c r="O28" s="208"/>
      <c r="P28" s="207"/>
      <c r="Q28" s="208"/>
      <c r="R28" s="207"/>
      <c r="S28" s="208"/>
      <c r="T28" s="24"/>
      <c r="U28" s="18"/>
      <c r="V28" s="10"/>
      <c r="W28" s="2"/>
    </row>
    <row r="29" spans="1:23" ht="16" x14ac:dyDescent="0.2">
      <c r="A29" s="2"/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10"/>
      <c r="W29" s="2"/>
    </row>
    <row r="30" spans="1:23" ht="17" thickBot="1" x14ac:dyDescent="0.25">
      <c r="A30" s="2"/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4" t="s">
        <v>22</v>
      </c>
      <c r="S30" s="204"/>
      <c r="T30" s="204"/>
      <c r="U30" s="204"/>
      <c r="V30" s="205"/>
      <c r="W30" s="2"/>
    </row>
    <row r="31" spans="1:23" ht="16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</sheetData>
  <sheetProtection selectLockedCells="1"/>
  <mergeCells count="78">
    <mergeCell ref="R21:S21"/>
    <mergeCell ref="R20:S20"/>
    <mergeCell ref="R19:S19"/>
    <mergeCell ref="E28:F28"/>
    <mergeCell ref="G28:H28"/>
    <mergeCell ref="I28:M28"/>
    <mergeCell ref="N28:O28"/>
    <mergeCell ref="P28:Q28"/>
    <mergeCell ref="I26:M26"/>
    <mergeCell ref="N26:O26"/>
    <mergeCell ref="P26:Q26"/>
    <mergeCell ref="E27:F27"/>
    <mergeCell ref="G27:H27"/>
    <mergeCell ref="E24:F24"/>
    <mergeCell ref="G24:H24"/>
    <mergeCell ref="P24:Q24"/>
    <mergeCell ref="R30:V30"/>
    <mergeCell ref="R18:S18"/>
    <mergeCell ref="P18:Q18"/>
    <mergeCell ref="N18:O18"/>
    <mergeCell ref="I18:M18"/>
    <mergeCell ref="R28:S28"/>
    <mergeCell ref="I27:M27"/>
    <mergeCell ref="N27:O27"/>
    <mergeCell ref="P27:Q27"/>
    <mergeCell ref="R27:S27"/>
    <mergeCell ref="R26:S26"/>
    <mergeCell ref="R23:S23"/>
    <mergeCell ref="R22:S22"/>
    <mergeCell ref="R25:S25"/>
    <mergeCell ref="I24:M24"/>
    <mergeCell ref="N24:O24"/>
    <mergeCell ref="R24:S24"/>
    <mergeCell ref="E25:F25"/>
    <mergeCell ref="G25:H25"/>
    <mergeCell ref="I25:M25"/>
    <mergeCell ref="N25:O25"/>
    <mergeCell ref="P25:Q25"/>
    <mergeCell ref="E26:F26"/>
    <mergeCell ref="G26:H26"/>
    <mergeCell ref="E22:F22"/>
    <mergeCell ref="G22:H22"/>
    <mergeCell ref="I22:M22"/>
    <mergeCell ref="N22:O22"/>
    <mergeCell ref="P22:Q22"/>
    <mergeCell ref="E23:F23"/>
    <mergeCell ref="G23:H23"/>
    <mergeCell ref="I23:M23"/>
    <mergeCell ref="N23:O23"/>
    <mergeCell ref="P23:Q23"/>
    <mergeCell ref="E20:F20"/>
    <mergeCell ref="G20:H20"/>
    <mergeCell ref="I20:M20"/>
    <mergeCell ref="N20:O20"/>
    <mergeCell ref="P20:Q20"/>
    <mergeCell ref="E21:F21"/>
    <mergeCell ref="G21:H21"/>
    <mergeCell ref="I21:M21"/>
    <mergeCell ref="N21:O21"/>
    <mergeCell ref="P21:Q21"/>
    <mergeCell ref="C15:K15"/>
    <mergeCell ref="M15:U15"/>
    <mergeCell ref="C16:K16"/>
    <mergeCell ref="M16:U16"/>
    <mergeCell ref="E19:F19"/>
    <mergeCell ref="G19:H19"/>
    <mergeCell ref="I19:M19"/>
    <mergeCell ref="N19:O19"/>
    <mergeCell ref="P19:Q19"/>
    <mergeCell ref="E18:F18"/>
    <mergeCell ref="G18:H18"/>
    <mergeCell ref="C11:U11"/>
    <mergeCell ref="C13:K13"/>
    <mergeCell ref="M13:P13"/>
    <mergeCell ref="R13:U13"/>
    <mergeCell ref="C14:K14"/>
    <mergeCell ref="M14:P14"/>
    <mergeCell ref="R14:U14"/>
  </mergeCells>
  <dataValidations count="2">
    <dataValidation type="list" allowBlank="1" showInputMessage="1" showErrorMessage="1" sqref="T19 T20 T21 T22 T23 T24 T25 T26 T27 T28" xr:uid="{D95E6F60-0EF4-4D95-B1EE-3F4AC6BCBDCD}">
      <formula1>CourseType</formula1>
    </dataValidation>
    <dataValidation type="list" allowBlank="1" showInputMessage="1" showErrorMessage="1" sqref="R13:U13" xr:uid="{74246C11-84E5-439F-848C-F6DF67358763}">
      <formula1>Term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4F76-B40F-4C9F-99A9-0D7855736868}">
  <sheetPr codeName="Sheet2">
    <pageSetUpPr fitToPage="1"/>
  </sheetPr>
  <dimension ref="B1:DF56"/>
  <sheetViews>
    <sheetView showGridLines="0" zoomScale="85" zoomScaleNormal="85" workbookViewId="0">
      <selection activeCell="E21" sqref="E21"/>
    </sheetView>
  </sheetViews>
  <sheetFormatPr baseColWidth="10" defaultColWidth="8.5" defaultRowHeight="15" x14ac:dyDescent="0.2"/>
  <cols>
    <col min="1" max="1" width="1.83203125" customWidth="1"/>
    <col min="2" max="2" width="32.5" customWidth="1"/>
    <col min="3" max="3" width="2.1640625" customWidth="1"/>
    <col min="4" max="5" width="14.5" style="106" customWidth="1"/>
    <col min="6" max="6" width="1.5" customWidth="1"/>
    <col min="7" max="7" width="4.5" customWidth="1"/>
    <col min="8" max="8" width="14.1640625" customWidth="1"/>
    <col min="9" max="9" width="41.1640625" style="107" customWidth="1"/>
    <col min="10" max="10" width="15.1640625" customWidth="1"/>
    <col min="11" max="11" width="6.5" customWidth="1"/>
    <col min="12" max="12" width="8.1640625" customWidth="1"/>
    <col min="13" max="14" width="8.5" bestFit="1" customWidth="1"/>
    <col min="15" max="15" width="8.5" customWidth="1"/>
    <col min="16" max="16" width="5.5" customWidth="1"/>
    <col min="17" max="17" width="6.5" bestFit="1" customWidth="1"/>
    <col min="18" max="27" width="5.5" customWidth="1"/>
    <col min="28" max="28" width="12.5" customWidth="1"/>
    <col min="29" max="29" width="10.33203125" customWidth="1"/>
    <col min="30" max="41" width="5.5" customWidth="1"/>
    <col min="42" max="42" width="13.1640625" customWidth="1"/>
    <col min="43" max="43" width="10.33203125" customWidth="1"/>
    <col min="44" max="44" width="22.5" customWidth="1"/>
    <col min="45" max="45" width="10.1640625" hidden="1" customWidth="1"/>
    <col min="46" max="47" width="14.5" hidden="1" customWidth="1"/>
    <col min="48" max="48" width="16.5" hidden="1" customWidth="1"/>
    <col min="49" max="49" width="15.5" hidden="1" customWidth="1"/>
    <col min="50" max="51" width="12.5" hidden="1" customWidth="1"/>
    <col min="52" max="52" width="13.1640625" hidden="1" customWidth="1"/>
    <col min="53" max="53" width="13.83203125" hidden="1" customWidth="1"/>
    <col min="54" max="54" width="13.1640625" hidden="1" customWidth="1"/>
    <col min="55" max="60" width="8.5" hidden="1" customWidth="1"/>
    <col min="61" max="66" width="8" hidden="1" customWidth="1"/>
    <col min="67" max="72" width="8.5" hidden="1" customWidth="1"/>
    <col min="73" max="78" width="8" hidden="1" customWidth="1"/>
    <col min="79" max="79" width="25.83203125" hidden="1" customWidth="1"/>
    <col min="80" max="80" width="8.5" hidden="1" customWidth="1"/>
    <col min="81" max="81" width="9.5" hidden="1" customWidth="1"/>
    <col min="82" max="82" width="10.1640625" hidden="1" customWidth="1"/>
    <col min="83" max="85" width="8.5" hidden="1" customWidth="1"/>
    <col min="86" max="88" width="9.5" hidden="1" customWidth="1"/>
    <col min="89" max="91" width="8" hidden="1" customWidth="1"/>
    <col min="92" max="94" width="8.83203125" hidden="1" customWidth="1"/>
    <col min="95" max="97" width="8.5" hidden="1" customWidth="1"/>
    <col min="98" max="100" width="9.5" hidden="1" customWidth="1"/>
    <col min="101" max="103" width="8" hidden="1" customWidth="1"/>
    <col min="104" max="106" width="8.83203125" hidden="1" customWidth="1"/>
    <col min="107" max="107" width="7.83203125" hidden="1" customWidth="1"/>
    <col min="108" max="108" width="22.5" hidden="1" customWidth="1"/>
    <col min="109" max="109" width="9.5" hidden="1" customWidth="1"/>
    <col min="110" max="110" width="8.83203125" hidden="1" customWidth="1"/>
  </cols>
  <sheetData>
    <row r="1" spans="2:110" ht="16" thickBot="1" x14ac:dyDescent="0.25"/>
    <row r="2" spans="2:110" ht="24" customHeight="1" thickBot="1" x14ac:dyDescent="0.25">
      <c r="G2" s="274" t="s">
        <v>23</v>
      </c>
      <c r="H2" s="271" t="s">
        <v>24</v>
      </c>
      <c r="I2" s="271" t="s">
        <v>25</v>
      </c>
      <c r="J2" s="268" t="s">
        <v>26</v>
      </c>
      <c r="K2" s="216" t="s">
        <v>27</v>
      </c>
      <c r="L2" s="262" t="s">
        <v>28</v>
      </c>
      <c r="M2" s="263"/>
      <c r="N2" s="256" t="s">
        <v>29</v>
      </c>
      <c r="O2" s="257"/>
      <c r="P2" s="224" t="s">
        <v>30</v>
      </c>
      <c r="Q2" s="225"/>
      <c r="R2" s="225"/>
      <c r="S2" s="225"/>
      <c r="T2" s="225"/>
      <c r="U2" s="225"/>
      <c r="V2" s="225"/>
      <c r="W2" s="225"/>
      <c r="X2" s="225"/>
      <c r="Y2" s="225"/>
      <c r="Z2" s="225"/>
      <c r="AA2" s="225"/>
      <c r="AB2" s="225"/>
      <c r="AC2" s="226"/>
      <c r="AD2" s="232" t="s">
        <v>31</v>
      </c>
      <c r="AE2" s="232"/>
      <c r="AF2" s="232"/>
      <c r="AG2" s="225"/>
      <c r="AH2" s="225"/>
      <c r="AI2" s="225"/>
      <c r="AJ2" s="225"/>
      <c r="AK2" s="225"/>
      <c r="AL2" s="225"/>
      <c r="AM2" s="225"/>
      <c r="AN2" s="225"/>
      <c r="AO2" s="225"/>
      <c r="AP2" s="225"/>
      <c r="AQ2" s="226"/>
      <c r="AR2" s="210" t="s">
        <v>32</v>
      </c>
    </row>
    <row r="3" spans="2:110" ht="22" customHeight="1" thickBot="1" x14ac:dyDescent="0.25">
      <c r="G3" s="275"/>
      <c r="H3" s="272"/>
      <c r="I3" s="272"/>
      <c r="J3" s="269"/>
      <c r="K3" s="217"/>
      <c r="L3" s="264"/>
      <c r="M3" s="265"/>
      <c r="N3" s="258"/>
      <c r="O3" s="259"/>
      <c r="P3" s="243" t="str">
        <f>B17</f>
        <v>Learning Activities</v>
      </c>
      <c r="Q3" s="228"/>
      <c r="R3" s="228"/>
      <c r="S3" s="228"/>
      <c r="T3" s="228"/>
      <c r="U3" s="244"/>
      <c r="V3" s="229" t="str">
        <f>B18</f>
        <v>Performance Task</v>
      </c>
      <c r="W3" s="231"/>
      <c r="X3" s="231"/>
      <c r="Y3" s="231"/>
      <c r="Z3" s="231"/>
      <c r="AA3" s="245"/>
      <c r="AB3" s="237" t="str">
        <f>$B$19</f>
        <v>Midterm Exam</v>
      </c>
      <c r="AC3" s="241" t="str">
        <f>$B$21</f>
        <v xml:space="preserve"> </v>
      </c>
      <c r="AD3" s="227" t="str">
        <f>$B$17</f>
        <v>Learning Activities</v>
      </c>
      <c r="AE3" s="227"/>
      <c r="AF3" s="227"/>
      <c r="AG3" s="228"/>
      <c r="AH3" s="228"/>
      <c r="AI3" s="228"/>
      <c r="AJ3" s="229" t="str">
        <f>$B$18</f>
        <v>Performance Task</v>
      </c>
      <c r="AK3" s="230"/>
      <c r="AL3" s="230"/>
      <c r="AM3" s="231"/>
      <c r="AN3" s="231"/>
      <c r="AO3" s="231"/>
      <c r="AP3" s="235" t="str">
        <f>$B$20</f>
        <v>Final Exam</v>
      </c>
      <c r="AQ3" s="233" t="str">
        <f>$B$21</f>
        <v xml:space="preserve"> </v>
      </c>
      <c r="AR3" s="211"/>
    </row>
    <row r="4" spans="2:110" ht="24.75" customHeight="1" thickBot="1" x14ac:dyDescent="0.25">
      <c r="G4" s="275"/>
      <c r="H4" s="272"/>
      <c r="I4" s="272"/>
      <c r="J4" s="269"/>
      <c r="K4" s="217"/>
      <c r="L4" s="266"/>
      <c r="M4" s="267"/>
      <c r="N4" s="260"/>
      <c r="O4" s="261"/>
      <c r="P4" s="26" t="s">
        <v>33</v>
      </c>
      <c r="Q4" s="27" t="s">
        <v>34</v>
      </c>
      <c r="R4" s="27"/>
      <c r="S4" s="27"/>
      <c r="T4" s="27"/>
      <c r="U4" s="28"/>
      <c r="V4" s="29" t="s">
        <v>35</v>
      </c>
      <c r="W4" s="27" t="s">
        <v>36</v>
      </c>
      <c r="X4" s="27" t="s">
        <v>37</v>
      </c>
      <c r="Y4" s="27" t="s">
        <v>38</v>
      </c>
      <c r="Z4" s="27"/>
      <c r="AA4" s="28"/>
      <c r="AB4" s="238"/>
      <c r="AC4" s="242"/>
      <c r="AD4" s="29" t="s">
        <v>39</v>
      </c>
      <c r="AE4" s="29"/>
      <c r="AF4" s="29"/>
      <c r="AG4" s="27"/>
      <c r="AH4" s="27"/>
      <c r="AI4" s="69"/>
      <c r="AJ4" s="29" t="s">
        <v>40</v>
      </c>
      <c r="AK4" s="29"/>
      <c r="AL4" s="29" t="s">
        <v>41</v>
      </c>
      <c r="AM4" s="29" t="s">
        <v>42</v>
      </c>
      <c r="AN4" s="29"/>
      <c r="AO4" s="29"/>
      <c r="AP4" s="236"/>
      <c r="AQ4" s="234"/>
      <c r="AR4" s="211"/>
    </row>
    <row r="5" spans="2:110" ht="32.25" customHeight="1" thickBot="1" x14ac:dyDescent="0.25">
      <c r="B5" s="108" t="str">
        <f>'Cover Page'!C13</f>
        <v>MA. KATHERINE L. CALUNOD</v>
      </c>
      <c r="D5" s="213" t="str">
        <f>'Cover Page'!C15</f>
        <v>Science and Mathematics Cluster</v>
      </c>
      <c r="E5" s="213"/>
      <c r="G5" s="276"/>
      <c r="H5" s="273"/>
      <c r="I5" s="273"/>
      <c r="J5" s="270"/>
      <c r="K5" s="218"/>
      <c r="L5" s="109" t="s">
        <v>43</v>
      </c>
      <c r="M5" s="110" t="s">
        <v>44</v>
      </c>
      <c r="N5" s="109" t="s">
        <v>43</v>
      </c>
      <c r="O5" s="111" t="s">
        <v>44</v>
      </c>
      <c r="P5" s="26">
        <v>25</v>
      </c>
      <c r="Q5" s="27">
        <v>20</v>
      </c>
      <c r="R5" s="27"/>
      <c r="S5" s="27"/>
      <c r="T5" s="27"/>
      <c r="U5" s="28"/>
      <c r="V5" s="29">
        <v>25</v>
      </c>
      <c r="W5" s="27">
        <v>25</v>
      </c>
      <c r="X5" s="27">
        <v>0</v>
      </c>
      <c r="Y5" s="27">
        <v>0</v>
      </c>
      <c r="Z5" s="27"/>
      <c r="AA5" s="28"/>
      <c r="AB5" s="30">
        <v>40</v>
      </c>
      <c r="AC5" s="70"/>
      <c r="AD5" s="29">
        <v>25</v>
      </c>
      <c r="AE5" s="29"/>
      <c r="AF5" s="29"/>
      <c r="AG5" s="27"/>
      <c r="AH5" s="27"/>
      <c r="AI5" s="28"/>
      <c r="AJ5" s="29">
        <v>25</v>
      </c>
      <c r="AK5" s="29"/>
      <c r="AL5" s="29">
        <v>0</v>
      </c>
      <c r="AM5" s="27">
        <v>0</v>
      </c>
      <c r="AN5" s="27"/>
      <c r="AO5" s="27"/>
      <c r="AP5" s="30">
        <v>25</v>
      </c>
      <c r="AQ5" s="70"/>
      <c r="AR5" s="212"/>
    </row>
    <row r="6" spans="2:110" s="113" customFormat="1" ht="16" hidden="1" thickBot="1" x14ac:dyDescent="0.25">
      <c r="B6" s="112"/>
      <c r="D6" s="220"/>
      <c r="E6" s="220"/>
      <c r="G6" s="114" t="s">
        <v>45</v>
      </c>
      <c r="H6" s="115" t="s">
        <v>24</v>
      </c>
      <c r="I6" s="116" t="s">
        <v>25</v>
      </c>
      <c r="J6" s="117" t="s">
        <v>26</v>
      </c>
      <c r="K6" s="118" t="s">
        <v>46</v>
      </c>
      <c r="L6" s="115" t="s">
        <v>47</v>
      </c>
      <c r="M6" s="119" t="s">
        <v>48</v>
      </c>
      <c r="N6" s="115" t="s">
        <v>49</v>
      </c>
      <c r="O6" s="117" t="s">
        <v>50</v>
      </c>
      <c r="P6" s="31" t="s">
        <v>51</v>
      </c>
      <c r="Q6" s="32" t="s">
        <v>52</v>
      </c>
      <c r="R6" s="32" t="s">
        <v>53</v>
      </c>
      <c r="S6" s="32" t="s">
        <v>54</v>
      </c>
      <c r="T6" s="32" t="s">
        <v>55</v>
      </c>
      <c r="U6" s="33" t="s">
        <v>56</v>
      </c>
      <c r="V6" s="32" t="s">
        <v>57</v>
      </c>
      <c r="W6" s="32" t="s">
        <v>58</v>
      </c>
      <c r="X6" s="32" t="s">
        <v>59</v>
      </c>
      <c r="Y6" s="32" t="s">
        <v>60</v>
      </c>
      <c r="Z6" s="32" t="s">
        <v>61</v>
      </c>
      <c r="AA6" s="33" t="s">
        <v>62</v>
      </c>
      <c r="AB6" s="34" t="s">
        <v>63</v>
      </c>
      <c r="AC6" s="71" t="s">
        <v>64</v>
      </c>
      <c r="AD6" s="32" t="s">
        <v>65</v>
      </c>
      <c r="AE6" s="32" t="s">
        <v>66</v>
      </c>
      <c r="AF6" s="32" t="s">
        <v>67</v>
      </c>
      <c r="AG6" s="32" t="s">
        <v>68</v>
      </c>
      <c r="AH6" s="32" t="s">
        <v>69</v>
      </c>
      <c r="AI6" s="33" t="s">
        <v>70</v>
      </c>
      <c r="AJ6" s="32" t="s">
        <v>71</v>
      </c>
      <c r="AK6" s="32" t="s">
        <v>72</v>
      </c>
      <c r="AL6" s="32" t="s">
        <v>73</v>
      </c>
      <c r="AM6" s="32" t="s">
        <v>74</v>
      </c>
      <c r="AN6" s="32" t="s">
        <v>75</v>
      </c>
      <c r="AO6" s="32" t="s">
        <v>76</v>
      </c>
      <c r="AP6" s="34" t="s">
        <v>77</v>
      </c>
      <c r="AQ6" s="71" t="s">
        <v>78</v>
      </c>
      <c r="AR6" s="120" t="s">
        <v>32</v>
      </c>
      <c r="AS6" s="115" t="s">
        <v>10</v>
      </c>
      <c r="AT6" s="115" t="s">
        <v>79</v>
      </c>
      <c r="AU6" s="115" t="s">
        <v>80</v>
      </c>
      <c r="AV6" s="115" t="s">
        <v>81</v>
      </c>
      <c r="AW6" s="115" t="s">
        <v>82</v>
      </c>
      <c r="AX6" s="115" t="s">
        <v>83</v>
      </c>
      <c r="AY6" s="115" t="s">
        <v>84</v>
      </c>
      <c r="AZ6" s="115" t="s">
        <v>85</v>
      </c>
      <c r="BA6" s="115" t="s">
        <v>86</v>
      </c>
      <c r="BB6" s="115" t="s">
        <v>87</v>
      </c>
      <c r="BC6" s="115" t="s">
        <v>88</v>
      </c>
      <c r="BD6" s="115" t="s">
        <v>89</v>
      </c>
      <c r="BE6" s="115" t="s">
        <v>90</v>
      </c>
      <c r="BF6" s="115" t="s">
        <v>91</v>
      </c>
      <c r="BG6" s="115" t="s">
        <v>92</v>
      </c>
      <c r="BH6" s="115" t="s">
        <v>93</v>
      </c>
      <c r="BI6" s="115" t="s">
        <v>94</v>
      </c>
      <c r="BJ6" s="115" t="s">
        <v>95</v>
      </c>
      <c r="BK6" s="115" t="s">
        <v>96</v>
      </c>
      <c r="BL6" s="115" t="s">
        <v>97</v>
      </c>
      <c r="BM6" s="115" t="s">
        <v>98</v>
      </c>
      <c r="BN6" s="115" t="s">
        <v>99</v>
      </c>
      <c r="BO6" s="115" t="s">
        <v>100</v>
      </c>
      <c r="BP6" s="115" t="s">
        <v>101</v>
      </c>
      <c r="BQ6" s="115" t="s">
        <v>102</v>
      </c>
      <c r="BR6" s="115" t="s">
        <v>103</v>
      </c>
      <c r="BS6" s="115" t="s">
        <v>104</v>
      </c>
      <c r="BT6" s="115" t="s">
        <v>105</v>
      </c>
      <c r="BU6" s="115" t="s">
        <v>106</v>
      </c>
      <c r="BV6" s="115" t="s">
        <v>107</v>
      </c>
      <c r="BW6" s="115" t="s">
        <v>108</v>
      </c>
      <c r="BX6" s="115" t="s">
        <v>109</v>
      </c>
      <c r="BY6" s="115" t="s">
        <v>110</v>
      </c>
      <c r="BZ6" s="119" t="s">
        <v>111</v>
      </c>
      <c r="CA6" s="115" t="s">
        <v>112</v>
      </c>
      <c r="CB6" s="115" t="s">
        <v>113</v>
      </c>
      <c r="CC6" s="115" t="s">
        <v>114</v>
      </c>
      <c r="CD6" s="115" t="s">
        <v>115</v>
      </c>
      <c r="CE6" s="115" t="s">
        <v>116</v>
      </c>
      <c r="CF6" s="115" t="s">
        <v>117</v>
      </c>
      <c r="CG6" s="115" t="s">
        <v>118</v>
      </c>
      <c r="CH6" s="115" t="s">
        <v>119</v>
      </c>
      <c r="CI6" s="115" t="s">
        <v>120</v>
      </c>
      <c r="CJ6" s="115" t="s">
        <v>121</v>
      </c>
      <c r="CK6" s="115" t="s">
        <v>122</v>
      </c>
      <c r="CL6" s="115" t="s">
        <v>123</v>
      </c>
      <c r="CM6" s="115" t="s">
        <v>124</v>
      </c>
      <c r="CN6" s="115" t="s">
        <v>125</v>
      </c>
      <c r="CO6" s="115" t="s">
        <v>126</v>
      </c>
      <c r="CP6" s="115" t="s">
        <v>127</v>
      </c>
      <c r="CQ6" s="115" t="s">
        <v>128</v>
      </c>
      <c r="CR6" s="115" t="s">
        <v>129</v>
      </c>
      <c r="CS6" s="115" t="s">
        <v>130</v>
      </c>
      <c r="CT6" s="115" t="s">
        <v>131</v>
      </c>
      <c r="CU6" s="115" t="s">
        <v>132</v>
      </c>
      <c r="CV6" s="115" t="s">
        <v>133</v>
      </c>
      <c r="CW6" s="115" t="s">
        <v>134</v>
      </c>
      <c r="CX6" s="115" t="s">
        <v>135</v>
      </c>
      <c r="CY6" s="115" t="s">
        <v>136</v>
      </c>
      <c r="CZ6" s="115" t="s">
        <v>137</v>
      </c>
      <c r="DA6" s="115" t="s">
        <v>138</v>
      </c>
      <c r="DB6" s="115" t="s">
        <v>139</v>
      </c>
      <c r="DC6" s="119" t="s">
        <v>140</v>
      </c>
      <c r="DD6" s="119" t="s">
        <v>141</v>
      </c>
      <c r="DE6" s="115" t="s">
        <v>142</v>
      </c>
      <c r="DF6" s="115" t="s">
        <v>143</v>
      </c>
    </row>
    <row r="7" spans="2:110" s="113" customFormat="1" ht="26.25" customHeight="1" x14ac:dyDescent="0.2">
      <c r="B7" s="121" t="s">
        <v>2</v>
      </c>
      <c r="C7" s="122"/>
      <c r="D7" s="121" t="s">
        <v>7</v>
      </c>
      <c r="E7" s="123"/>
      <c r="G7" s="124">
        <v>1</v>
      </c>
      <c r="H7" s="65"/>
      <c r="I7" s="62"/>
      <c r="J7" s="96"/>
      <c r="K7" s="101"/>
      <c r="L7" s="125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7" s="126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7" s="125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7" s="127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7" s="35"/>
      <c r="Q7" s="36"/>
      <c r="R7" s="36"/>
      <c r="S7" s="36"/>
      <c r="T7" s="36"/>
      <c r="U7" s="37"/>
      <c r="V7" s="38"/>
      <c r="W7" s="36"/>
      <c r="X7" s="36"/>
      <c r="Y7" s="36"/>
      <c r="Z7" s="36"/>
      <c r="AA7" s="37"/>
      <c r="AB7" s="39"/>
      <c r="AC7" s="72"/>
      <c r="AD7" s="38"/>
      <c r="AE7" s="38"/>
      <c r="AF7" s="38"/>
      <c r="AG7" s="36"/>
      <c r="AH7" s="36"/>
      <c r="AI7" s="37"/>
      <c r="AJ7" s="38"/>
      <c r="AK7" s="38"/>
      <c r="AL7" s="38"/>
      <c r="AM7" s="36"/>
      <c r="AN7" s="36"/>
      <c r="AO7" s="36"/>
      <c r="AP7" s="39"/>
      <c r="AQ7" s="72"/>
      <c r="AR7" s="149"/>
      <c r="AS7" s="156">
        <f t="shared" ref="AS7:AS38" si="0">$E$8</f>
        <v>0</v>
      </c>
      <c r="AT7" s="164">
        <f t="shared" ref="AT7:AT38" si="1">$D$17</f>
        <v>0.3</v>
      </c>
      <c r="AU7" s="164">
        <f t="shared" ref="AU7:AU38" si="2">$D$18</f>
        <v>0.4</v>
      </c>
      <c r="AV7" s="164">
        <f t="shared" ref="AV7:AV38" si="3">$D$19</f>
        <v>0.3</v>
      </c>
      <c r="AW7" s="164" t="str">
        <f t="shared" ref="AW7:AW38" si="4">$D$21</f>
        <v xml:space="preserve"> </v>
      </c>
      <c r="AX7" s="164">
        <f t="shared" ref="AX7:AX38" si="5">$E$17</f>
        <v>0.3</v>
      </c>
      <c r="AY7" s="164">
        <f t="shared" ref="AY7:AY38" si="6">$E$18</f>
        <v>0.4</v>
      </c>
      <c r="AZ7" s="164">
        <f t="shared" ref="AZ7:AZ38" si="7">$E$20</f>
        <v>0.15</v>
      </c>
      <c r="BA7" s="164">
        <f t="shared" ref="BA7:BA38" si="8">$E$19</f>
        <v>0.15</v>
      </c>
      <c r="BB7" s="164" t="str">
        <f t="shared" ref="BB7:BB38" si="9">$E$21</f>
        <v xml:space="preserve"> </v>
      </c>
      <c r="BC7" s="156" t="str">
        <f t="shared" ref="BC7:BC38" si="10">$P$4</f>
        <v>LO1</v>
      </c>
      <c r="BD7" s="156" t="str">
        <f t="shared" ref="BD7:BD38" si="11">$Q$4</f>
        <v>Q1</v>
      </c>
      <c r="BE7" s="156">
        <f t="shared" ref="BE7:BE38" si="12">$R$4</f>
        <v>0</v>
      </c>
      <c r="BF7" s="156">
        <f t="shared" ref="BF7:BF38" si="13">$S$4</f>
        <v>0</v>
      </c>
      <c r="BG7" s="156">
        <f t="shared" ref="BG7:BG38" si="14">$T$4</f>
        <v>0</v>
      </c>
      <c r="BH7" s="156">
        <f t="shared" ref="BH7:BH38" si="15">$U$4</f>
        <v>0</v>
      </c>
      <c r="BI7" s="156">
        <f t="shared" ref="BI7:BI38" si="16">$P$5</f>
        <v>25</v>
      </c>
      <c r="BJ7" s="156">
        <f t="shared" ref="BJ7:BJ38" si="17">$Q$5</f>
        <v>20</v>
      </c>
      <c r="BK7" s="156">
        <f t="shared" ref="BK7:BK38" si="18">$R$5</f>
        <v>0</v>
      </c>
      <c r="BL7" s="156">
        <f t="shared" ref="BL7:BL38" si="19">$S$5</f>
        <v>0</v>
      </c>
      <c r="BM7" s="156">
        <f t="shared" ref="BM7:BM38" si="20">$T$5</f>
        <v>0</v>
      </c>
      <c r="BN7" s="156">
        <f t="shared" ref="BN7:BN38" si="21">$U$5</f>
        <v>0</v>
      </c>
      <c r="BO7" s="166" t="str">
        <f t="shared" ref="BO7:BO38" si="22">$V$4</f>
        <v>P1</v>
      </c>
      <c r="BP7" s="166" t="str">
        <f t="shared" ref="BP7:BP38" si="23">$W$4</f>
        <v>P2</v>
      </c>
      <c r="BQ7" s="166" t="str">
        <f t="shared" ref="BQ7:BQ38" si="24">$X$4</f>
        <v>CV</v>
      </c>
      <c r="BR7" s="166" t="str">
        <f t="shared" ref="BR7:BR38" si="25">$Y$4</f>
        <v>CP</v>
      </c>
      <c r="BS7" s="166">
        <f t="shared" ref="BS7:BS38" si="26">$Z$4</f>
        <v>0</v>
      </c>
      <c r="BT7" s="166">
        <f t="shared" ref="BT7:BT38" si="27">$AA$4</f>
        <v>0</v>
      </c>
      <c r="BU7" s="166">
        <f t="shared" ref="BU7:BU38" si="28">$V$5</f>
        <v>25</v>
      </c>
      <c r="BV7" s="166">
        <f t="shared" ref="BV7:BV38" si="29">$W$5</f>
        <v>25</v>
      </c>
      <c r="BW7" s="166">
        <f t="shared" ref="BW7:BW38" si="30">$X$5</f>
        <v>0</v>
      </c>
      <c r="BX7" s="166">
        <f t="shared" ref="BX7:BX38" si="31">$Y$5</f>
        <v>0</v>
      </c>
      <c r="BY7" s="166">
        <f t="shared" ref="BY7:BY38" si="32">$Z$5</f>
        <v>0</v>
      </c>
      <c r="BZ7" s="166">
        <f t="shared" ref="BZ7:BZ38" si="33">$AA$5</f>
        <v>0</v>
      </c>
      <c r="CA7" s="156" t="str">
        <f t="shared" ref="CA7:CA38" si="34">$AB$3</f>
        <v>Midterm Exam</v>
      </c>
      <c r="CB7" s="156">
        <f t="shared" ref="CB7:CB38" si="35">$AB$5</f>
        <v>40</v>
      </c>
      <c r="CC7" s="156">
        <f t="shared" ref="CC7:CC38" si="36">$AC$5</f>
        <v>0</v>
      </c>
      <c r="CD7" s="156" t="str">
        <f t="shared" ref="CD7:CD38" si="37">$AC$3</f>
        <v xml:space="preserve"> </v>
      </c>
      <c r="CE7" s="171" t="str">
        <f t="shared" ref="CE7:CE38" si="38">AD$4</f>
        <v>LO2</v>
      </c>
      <c r="CF7" s="172">
        <f t="shared" ref="CF7:CF38" si="39">$AE$4</f>
        <v>0</v>
      </c>
      <c r="CG7" s="172">
        <f t="shared" ref="CG7:CG38" si="40">$AF$4</f>
        <v>0</v>
      </c>
      <c r="CH7" s="172">
        <f t="shared" ref="CH7:CH38" si="41">$AG$4</f>
        <v>0</v>
      </c>
      <c r="CI7" s="172">
        <f t="shared" ref="CI7:CI38" si="42">$AH$4</f>
        <v>0</v>
      </c>
      <c r="CJ7" s="172">
        <f t="shared" ref="CJ7:CJ38" si="43">$AI$4</f>
        <v>0</v>
      </c>
      <c r="CK7" s="172">
        <f t="shared" ref="CK7:CK38" si="44">$AD$5</f>
        <v>25</v>
      </c>
      <c r="CL7" s="172">
        <f t="shared" ref="CL7:CL38" si="45">$AE$5</f>
        <v>0</v>
      </c>
      <c r="CM7" s="172">
        <f t="shared" ref="CM7:CM38" si="46">$AF$5</f>
        <v>0</v>
      </c>
      <c r="CN7" s="172">
        <f t="shared" ref="CN7:CN38" si="47">$AG$5</f>
        <v>0</v>
      </c>
      <c r="CO7" s="173">
        <f t="shared" ref="CO7:CO38" si="48">$AH$5</f>
        <v>0</v>
      </c>
      <c r="CP7" s="173">
        <f t="shared" ref="CP7:CP38" si="49">$AI$5</f>
        <v>0</v>
      </c>
      <c r="CQ7" s="172" t="str">
        <f t="shared" ref="CQ7:CQ38" si="50">$AJ$4</f>
        <v>P3</v>
      </c>
      <c r="CR7" s="172">
        <f t="shared" ref="CR7:CR38" si="51">$AK$4</f>
        <v>0</v>
      </c>
      <c r="CS7" s="172" t="str">
        <f t="shared" ref="CS7:CS38" si="52">$AL$4</f>
        <v>LS</v>
      </c>
      <c r="CT7" s="172" t="str">
        <f t="shared" ref="CT7:CT38" si="53">$AM$4</f>
        <v>B</v>
      </c>
      <c r="CU7" s="172">
        <f t="shared" ref="CU7:CU38" si="54">$AN$4</f>
        <v>0</v>
      </c>
      <c r="CV7" s="172">
        <f t="shared" ref="CV7:CV38" si="55">$AO$4</f>
        <v>0</v>
      </c>
      <c r="CW7" s="172">
        <f t="shared" ref="CW7:CW38" si="56">$AJ$5</f>
        <v>25</v>
      </c>
      <c r="CX7" s="173">
        <f t="shared" ref="CX7:CX38" si="57">$AK$5</f>
        <v>0</v>
      </c>
      <c r="CY7" s="173">
        <f t="shared" ref="CY7:CY38" si="58">$AL$5</f>
        <v>0</v>
      </c>
      <c r="CZ7" s="173">
        <f t="shared" ref="CZ7:CZ38" si="59">$AM$5</f>
        <v>0</v>
      </c>
      <c r="DA7" s="173">
        <f t="shared" ref="DA7:DA38" si="60">$AN$5</f>
        <v>0</v>
      </c>
      <c r="DB7" s="183">
        <f t="shared" ref="DB7:DB38" si="61">$AO$5</f>
        <v>0</v>
      </c>
      <c r="DC7" s="166">
        <f t="shared" ref="DC7:DC38" si="62">$AP$5</f>
        <v>25</v>
      </c>
      <c r="DD7" s="166" t="str">
        <f t="shared" ref="DD7:DD38" si="63">$AP$3</f>
        <v>Final Exam</v>
      </c>
      <c r="DE7" s="156" t="str">
        <f t="shared" ref="DE7:DE38" si="64">$AQ$3</f>
        <v xml:space="preserve"> </v>
      </c>
      <c r="DF7" s="156">
        <f t="shared" ref="DF7:DF38" si="65">$AQ$5</f>
        <v>0</v>
      </c>
    </row>
    <row r="8" spans="2:110" s="113" customFormat="1" ht="26.25" customHeight="1" x14ac:dyDescent="0.2">
      <c r="B8" s="108" t="str">
        <f>'Cover Page'!I19</f>
        <v>Living in the IT Era</v>
      </c>
      <c r="D8" s="108" t="str">
        <f>'Cover Page'!G19</f>
        <v>GEITE01X</v>
      </c>
      <c r="E8" s="128"/>
      <c r="G8" s="60">
        <v>2</v>
      </c>
      <c r="H8" s="66"/>
      <c r="I8" s="63"/>
      <c r="J8" s="97"/>
      <c r="K8" s="102"/>
      <c r="L8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8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8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8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8" s="40"/>
      <c r="Q8" s="41"/>
      <c r="R8" s="41"/>
      <c r="S8" s="41"/>
      <c r="T8" s="41"/>
      <c r="U8" s="42"/>
      <c r="V8" s="43"/>
      <c r="W8" s="41"/>
      <c r="X8" s="41"/>
      <c r="Y8" s="41"/>
      <c r="Z8" s="41"/>
      <c r="AA8" s="42"/>
      <c r="AB8" s="44"/>
      <c r="AC8" s="73"/>
      <c r="AD8" s="43"/>
      <c r="AE8" s="43"/>
      <c r="AF8" s="43"/>
      <c r="AG8" s="41"/>
      <c r="AH8" s="41"/>
      <c r="AI8" s="42"/>
      <c r="AJ8" s="43"/>
      <c r="AK8" s="43"/>
      <c r="AL8" s="43"/>
      <c r="AM8" s="41"/>
      <c r="AN8" s="41"/>
      <c r="AO8" s="41"/>
      <c r="AP8" s="44"/>
      <c r="AQ8" s="73"/>
      <c r="AR8" s="150"/>
      <c r="AS8" s="157">
        <f t="shared" si="0"/>
        <v>0</v>
      </c>
      <c r="AT8" s="161">
        <f t="shared" si="1"/>
        <v>0.3</v>
      </c>
      <c r="AU8" s="161">
        <f t="shared" si="2"/>
        <v>0.4</v>
      </c>
      <c r="AV8" s="161">
        <f t="shared" si="3"/>
        <v>0.3</v>
      </c>
      <c r="AW8" s="161" t="str">
        <f t="shared" si="4"/>
        <v xml:space="preserve"> </v>
      </c>
      <c r="AX8" s="161">
        <f t="shared" si="5"/>
        <v>0.3</v>
      </c>
      <c r="AY8" s="161">
        <f t="shared" si="6"/>
        <v>0.4</v>
      </c>
      <c r="AZ8" s="161">
        <f t="shared" si="7"/>
        <v>0.15</v>
      </c>
      <c r="BA8" s="161">
        <f t="shared" si="8"/>
        <v>0.15</v>
      </c>
      <c r="BB8" s="161" t="str">
        <f t="shared" si="9"/>
        <v xml:space="preserve"> </v>
      </c>
      <c r="BC8" s="157" t="str">
        <f t="shared" si="10"/>
        <v>LO1</v>
      </c>
      <c r="BD8" s="157" t="str">
        <f t="shared" si="11"/>
        <v>Q1</v>
      </c>
      <c r="BE8" s="157">
        <f t="shared" si="12"/>
        <v>0</v>
      </c>
      <c r="BF8" s="157">
        <f t="shared" si="13"/>
        <v>0</v>
      </c>
      <c r="BG8" s="157">
        <f t="shared" si="14"/>
        <v>0</v>
      </c>
      <c r="BH8" s="157">
        <f t="shared" si="15"/>
        <v>0</v>
      </c>
      <c r="BI8" s="157">
        <f t="shared" si="16"/>
        <v>25</v>
      </c>
      <c r="BJ8" s="157">
        <f t="shared" si="17"/>
        <v>20</v>
      </c>
      <c r="BK8" s="157">
        <f t="shared" si="18"/>
        <v>0</v>
      </c>
      <c r="BL8" s="157">
        <f t="shared" si="19"/>
        <v>0</v>
      </c>
      <c r="BM8" s="157">
        <f t="shared" si="20"/>
        <v>0</v>
      </c>
      <c r="BN8" s="157">
        <f t="shared" si="21"/>
        <v>0</v>
      </c>
      <c r="BO8" s="167" t="str">
        <f t="shared" si="22"/>
        <v>P1</v>
      </c>
      <c r="BP8" s="167" t="str">
        <f t="shared" si="23"/>
        <v>P2</v>
      </c>
      <c r="BQ8" s="167" t="str">
        <f t="shared" si="24"/>
        <v>CV</v>
      </c>
      <c r="BR8" s="167" t="str">
        <f t="shared" si="25"/>
        <v>CP</v>
      </c>
      <c r="BS8" s="167">
        <f t="shared" si="26"/>
        <v>0</v>
      </c>
      <c r="BT8" s="167">
        <f t="shared" si="27"/>
        <v>0</v>
      </c>
      <c r="BU8" s="167">
        <f t="shared" si="28"/>
        <v>25</v>
      </c>
      <c r="BV8" s="167">
        <f t="shared" si="29"/>
        <v>25</v>
      </c>
      <c r="BW8" s="167">
        <f t="shared" si="30"/>
        <v>0</v>
      </c>
      <c r="BX8" s="167">
        <f t="shared" si="31"/>
        <v>0</v>
      </c>
      <c r="BY8" s="167">
        <f t="shared" si="32"/>
        <v>0</v>
      </c>
      <c r="BZ8" s="167">
        <f t="shared" si="33"/>
        <v>0</v>
      </c>
      <c r="CA8" s="157" t="str">
        <f t="shared" si="34"/>
        <v>Midterm Exam</v>
      </c>
      <c r="CB8" s="157">
        <f t="shared" si="35"/>
        <v>40</v>
      </c>
      <c r="CC8" s="157">
        <f t="shared" si="36"/>
        <v>0</v>
      </c>
      <c r="CD8" s="157" t="str">
        <f t="shared" si="37"/>
        <v xml:space="preserve"> </v>
      </c>
      <c r="CE8" s="174" t="str">
        <f t="shared" si="38"/>
        <v>LO2</v>
      </c>
      <c r="CF8" s="175">
        <f t="shared" si="39"/>
        <v>0</v>
      </c>
      <c r="CG8" s="175">
        <f t="shared" si="40"/>
        <v>0</v>
      </c>
      <c r="CH8" s="175">
        <f t="shared" si="41"/>
        <v>0</v>
      </c>
      <c r="CI8" s="175">
        <f t="shared" si="42"/>
        <v>0</v>
      </c>
      <c r="CJ8" s="175">
        <f t="shared" si="43"/>
        <v>0</v>
      </c>
      <c r="CK8" s="175">
        <f t="shared" si="44"/>
        <v>25</v>
      </c>
      <c r="CL8" s="175">
        <f t="shared" si="45"/>
        <v>0</v>
      </c>
      <c r="CM8" s="175">
        <f t="shared" si="46"/>
        <v>0</v>
      </c>
      <c r="CN8" s="175">
        <f t="shared" si="47"/>
        <v>0</v>
      </c>
      <c r="CO8" s="153">
        <f t="shared" si="48"/>
        <v>0</v>
      </c>
      <c r="CP8" s="153">
        <f t="shared" si="49"/>
        <v>0</v>
      </c>
      <c r="CQ8" s="175" t="str">
        <f t="shared" si="50"/>
        <v>P3</v>
      </c>
      <c r="CR8" s="175">
        <f t="shared" si="51"/>
        <v>0</v>
      </c>
      <c r="CS8" s="175" t="str">
        <f t="shared" si="52"/>
        <v>LS</v>
      </c>
      <c r="CT8" s="175" t="str">
        <f t="shared" si="53"/>
        <v>B</v>
      </c>
      <c r="CU8" s="175">
        <f t="shared" si="54"/>
        <v>0</v>
      </c>
      <c r="CV8" s="175">
        <f t="shared" si="55"/>
        <v>0</v>
      </c>
      <c r="CW8" s="175">
        <f t="shared" si="56"/>
        <v>25</v>
      </c>
      <c r="CX8" s="153">
        <f t="shared" si="57"/>
        <v>0</v>
      </c>
      <c r="CY8" s="153">
        <f t="shared" si="58"/>
        <v>0</v>
      </c>
      <c r="CZ8" s="153">
        <f t="shared" si="59"/>
        <v>0</v>
      </c>
      <c r="DA8" s="153">
        <f t="shared" si="60"/>
        <v>0</v>
      </c>
      <c r="DB8" s="184">
        <f t="shared" si="61"/>
        <v>0</v>
      </c>
      <c r="DC8" s="167">
        <f t="shared" si="62"/>
        <v>25</v>
      </c>
      <c r="DD8" s="167" t="str">
        <f t="shared" si="63"/>
        <v>Final Exam</v>
      </c>
      <c r="DE8" s="157" t="str">
        <f t="shared" si="64"/>
        <v xml:space="preserve"> </v>
      </c>
      <c r="DF8" s="157">
        <f t="shared" si="65"/>
        <v>0</v>
      </c>
    </row>
    <row r="9" spans="2:110" s="113" customFormat="1" ht="26.25" customHeight="1" x14ac:dyDescent="0.2">
      <c r="B9" s="121" t="s">
        <v>12</v>
      </c>
      <c r="C9" s="122"/>
      <c r="D9" s="121" t="s">
        <v>11</v>
      </c>
      <c r="E9" s="121" t="s">
        <v>10</v>
      </c>
      <c r="G9" s="60">
        <v>3</v>
      </c>
      <c r="H9" s="66"/>
      <c r="I9" s="63"/>
      <c r="J9" s="97"/>
      <c r="K9" s="102"/>
      <c r="L9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9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9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9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9" s="40"/>
      <c r="Q9" s="41"/>
      <c r="R9" s="41"/>
      <c r="S9" s="41"/>
      <c r="T9" s="41"/>
      <c r="U9" s="42"/>
      <c r="V9" s="43"/>
      <c r="W9" s="41"/>
      <c r="X9" s="41"/>
      <c r="Y9" s="41"/>
      <c r="Z9" s="41"/>
      <c r="AA9" s="42"/>
      <c r="AB9" s="44"/>
      <c r="AC9" s="73"/>
      <c r="AD9" s="43"/>
      <c r="AE9" s="43"/>
      <c r="AF9" s="43"/>
      <c r="AG9" s="41"/>
      <c r="AH9" s="41"/>
      <c r="AI9" s="42"/>
      <c r="AJ9" s="43"/>
      <c r="AK9" s="43"/>
      <c r="AL9" s="43"/>
      <c r="AM9" s="41"/>
      <c r="AN9" s="41"/>
      <c r="AO9" s="41"/>
      <c r="AP9" s="44"/>
      <c r="AQ9" s="73"/>
      <c r="AR9" s="150"/>
      <c r="AS9" s="157">
        <f t="shared" si="0"/>
        <v>0</v>
      </c>
      <c r="AT9" s="161">
        <f t="shared" si="1"/>
        <v>0.3</v>
      </c>
      <c r="AU9" s="161">
        <f t="shared" si="2"/>
        <v>0.4</v>
      </c>
      <c r="AV9" s="161">
        <f t="shared" si="3"/>
        <v>0.3</v>
      </c>
      <c r="AW9" s="161" t="str">
        <f t="shared" si="4"/>
        <v xml:space="preserve"> </v>
      </c>
      <c r="AX9" s="161">
        <f t="shared" si="5"/>
        <v>0.3</v>
      </c>
      <c r="AY9" s="161">
        <f t="shared" si="6"/>
        <v>0.4</v>
      </c>
      <c r="AZ9" s="161">
        <f t="shared" si="7"/>
        <v>0.15</v>
      </c>
      <c r="BA9" s="161">
        <f t="shared" si="8"/>
        <v>0.15</v>
      </c>
      <c r="BB9" s="161" t="str">
        <f t="shared" si="9"/>
        <v xml:space="preserve"> </v>
      </c>
      <c r="BC9" s="157" t="str">
        <f t="shared" si="10"/>
        <v>LO1</v>
      </c>
      <c r="BD9" s="157" t="str">
        <f t="shared" si="11"/>
        <v>Q1</v>
      </c>
      <c r="BE9" s="157">
        <f t="shared" si="12"/>
        <v>0</v>
      </c>
      <c r="BF9" s="157">
        <f t="shared" si="13"/>
        <v>0</v>
      </c>
      <c r="BG9" s="157">
        <f t="shared" si="14"/>
        <v>0</v>
      </c>
      <c r="BH9" s="157">
        <f t="shared" si="15"/>
        <v>0</v>
      </c>
      <c r="BI9" s="157">
        <f t="shared" si="16"/>
        <v>25</v>
      </c>
      <c r="BJ9" s="157">
        <f t="shared" si="17"/>
        <v>20</v>
      </c>
      <c r="BK9" s="157">
        <f t="shared" si="18"/>
        <v>0</v>
      </c>
      <c r="BL9" s="157">
        <f t="shared" si="19"/>
        <v>0</v>
      </c>
      <c r="BM9" s="157">
        <f t="shared" si="20"/>
        <v>0</v>
      </c>
      <c r="BN9" s="157">
        <f t="shared" si="21"/>
        <v>0</v>
      </c>
      <c r="BO9" s="167" t="str">
        <f t="shared" si="22"/>
        <v>P1</v>
      </c>
      <c r="BP9" s="167" t="str">
        <f t="shared" si="23"/>
        <v>P2</v>
      </c>
      <c r="BQ9" s="167" t="str">
        <f t="shared" si="24"/>
        <v>CV</v>
      </c>
      <c r="BR9" s="167" t="str">
        <f t="shared" si="25"/>
        <v>CP</v>
      </c>
      <c r="BS9" s="167">
        <f t="shared" si="26"/>
        <v>0</v>
      </c>
      <c r="BT9" s="167">
        <f t="shared" si="27"/>
        <v>0</v>
      </c>
      <c r="BU9" s="167">
        <f t="shared" si="28"/>
        <v>25</v>
      </c>
      <c r="BV9" s="167">
        <f t="shared" si="29"/>
        <v>25</v>
      </c>
      <c r="BW9" s="167">
        <f t="shared" si="30"/>
        <v>0</v>
      </c>
      <c r="BX9" s="167">
        <f t="shared" si="31"/>
        <v>0</v>
      </c>
      <c r="BY9" s="167">
        <f t="shared" si="32"/>
        <v>0</v>
      </c>
      <c r="BZ9" s="167">
        <f t="shared" si="33"/>
        <v>0</v>
      </c>
      <c r="CA9" s="157" t="str">
        <f t="shared" si="34"/>
        <v>Midterm Exam</v>
      </c>
      <c r="CB9" s="157">
        <f t="shared" si="35"/>
        <v>40</v>
      </c>
      <c r="CC9" s="157">
        <f t="shared" si="36"/>
        <v>0</v>
      </c>
      <c r="CD9" s="157" t="str">
        <f t="shared" si="37"/>
        <v xml:space="preserve"> </v>
      </c>
      <c r="CE9" s="174" t="str">
        <f t="shared" si="38"/>
        <v>LO2</v>
      </c>
      <c r="CF9" s="175">
        <f t="shared" si="39"/>
        <v>0</v>
      </c>
      <c r="CG9" s="175">
        <f t="shared" si="40"/>
        <v>0</v>
      </c>
      <c r="CH9" s="175">
        <f t="shared" si="41"/>
        <v>0</v>
      </c>
      <c r="CI9" s="175">
        <f t="shared" si="42"/>
        <v>0</v>
      </c>
      <c r="CJ9" s="175">
        <f t="shared" si="43"/>
        <v>0</v>
      </c>
      <c r="CK9" s="175">
        <f t="shared" si="44"/>
        <v>25</v>
      </c>
      <c r="CL9" s="175">
        <f t="shared" si="45"/>
        <v>0</v>
      </c>
      <c r="CM9" s="175">
        <f t="shared" si="46"/>
        <v>0</v>
      </c>
      <c r="CN9" s="175">
        <f t="shared" si="47"/>
        <v>0</v>
      </c>
      <c r="CO9" s="153">
        <f t="shared" si="48"/>
        <v>0</v>
      </c>
      <c r="CP9" s="153">
        <f t="shared" si="49"/>
        <v>0</v>
      </c>
      <c r="CQ9" s="175" t="str">
        <f t="shared" si="50"/>
        <v>P3</v>
      </c>
      <c r="CR9" s="175">
        <f t="shared" si="51"/>
        <v>0</v>
      </c>
      <c r="CS9" s="175" t="str">
        <f t="shared" si="52"/>
        <v>LS</v>
      </c>
      <c r="CT9" s="175" t="str">
        <f t="shared" si="53"/>
        <v>B</v>
      </c>
      <c r="CU9" s="175">
        <f t="shared" si="54"/>
        <v>0</v>
      </c>
      <c r="CV9" s="175">
        <f t="shared" si="55"/>
        <v>0</v>
      </c>
      <c r="CW9" s="175">
        <f t="shared" si="56"/>
        <v>25</v>
      </c>
      <c r="CX9" s="153">
        <f t="shared" si="57"/>
        <v>0</v>
      </c>
      <c r="CY9" s="153">
        <f t="shared" si="58"/>
        <v>0</v>
      </c>
      <c r="CZ9" s="153">
        <f t="shared" si="59"/>
        <v>0</v>
      </c>
      <c r="DA9" s="153">
        <f t="shared" si="60"/>
        <v>0</v>
      </c>
      <c r="DB9" s="184">
        <f t="shared" si="61"/>
        <v>0</v>
      </c>
      <c r="DC9" s="167">
        <f t="shared" si="62"/>
        <v>25</v>
      </c>
      <c r="DD9" s="167" t="str">
        <f t="shared" si="63"/>
        <v>Final Exam</v>
      </c>
      <c r="DE9" s="157" t="str">
        <f t="shared" si="64"/>
        <v xml:space="preserve"> </v>
      </c>
      <c r="DF9" s="157">
        <f t="shared" si="65"/>
        <v>0</v>
      </c>
    </row>
    <row r="10" spans="2:110" s="113" customFormat="1" ht="26.25" customHeight="1" x14ac:dyDescent="0.2">
      <c r="B10" s="108" t="str">
        <f>CONCATENATE(('Cover Page'!R13),"   ",('Cover Page'!M13))</f>
        <v>First Term   2024 - 2025</v>
      </c>
      <c r="D10" s="219">
        <f>'Cover Page'!U19</f>
        <v>3</v>
      </c>
      <c r="E10" s="219"/>
      <c r="G10" s="60">
        <v>4</v>
      </c>
      <c r="H10" s="66"/>
      <c r="I10" s="63"/>
      <c r="J10" s="97"/>
      <c r="K10" s="102"/>
      <c r="L10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0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0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0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0" s="40"/>
      <c r="Q10" s="41"/>
      <c r="R10" s="41"/>
      <c r="S10" s="41"/>
      <c r="T10" s="41"/>
      <c r="U10" s="42"/>
      <c r="V10" s="43"/>
      <c r="W10" s="41"/>
      <c r="X10" s="41"/>
      <c r="Y10" s="41"/>
      <c r="Z10" s="41"/>
      <c r="AA10" s="42"/>
      <c r="AB10" s="44"/>
      <c r="AC10" s="73"/>
      <c r="AD10" s="43"/>
      <c r="AE10" s="43"/>
      <c r="AF10" s="43"/>
      <c r="AG10" s="41"/>
      <c r="AH10" s="41"/>
      <c r="AI10" s="42"/>
      <c r="AJ10" s="43"/>
      <c r="AK10" s="43"/>
      <c r="AL10" s="43"/>
      <c r="AM10" s="41"/>
      <c r="AN10" s="41"/>
      <c r="AO10" s="41"/>
      <c r="AP10" s="44"/>
      <c r="AQ10" s="73"/>
      <c r="AR10" s="150"/>
      <c r="AS10" s="157">
        <f t="shared" si="0"/>
        <v>0</v>
      </c>
      <c r="AT10" s="161">
        <f t="shared" si="1"/>
        <v>0.3</v>
      </c>
      <c r="AU10" s="161">
        <f t="shared" si="2"/>
        <v>0.4</v>
      </c>
      <c r="AV10" s="161">
        <f t="shared" si="3"/>
        <v>0.3</v>
      </c>
      <c r="AW10" s="161" t="str">
        <f t="shared" si="4"/>
        <v xml:space="preserve"> </v>
      </c>
      <c r="AX10" s="161">
        <f t="shared" si="5"/>
        <v>0.3</v>
      </c>
      <c r="AY10" s="161">
        <f t="shared" si="6"/>
        <v>0.4</v>
      </c>
      <c r="AZ10" s="161">
        <f t="shared" si="7"/>
        <v>0.15</v>
      </c>
      <c r="BA10" s="161">
        <f t="shared" si="8"/>
        <v>0.15</v>
      </c>
      <c r="BB10" s="161" t="str">
        <f t="shared" si="9"/>
        <v xml:space="preserve"> </v>
      </c>
      <c r="BC10" s="157" t="str">
        <f t="shared" si="10"/>
        <v>LO1</v>
      </c>
      <c r="BD10" s="157" t="str">
        <f t="shared" si="11"/>
        <v>Q1</v>
      </c>
      <c r="BE10" s="157">
        <f t="shared" si="12"/>
        <v>0</v>
      </c>
      <c r="BF10" s="157">
        <f t="shared" si="13"/>
        <v>0</v>
      </c>
      <c r="BG10" s="157">
        <f t="shared" si="14"/>
        <v>0</v>
      </c>
      <c r="BH10" s="157">
        <f t="shared" si="15"/>
        <v>0</v>
      </c>
      <c r="BI10" s="157">
        <f t="shared" si="16"/>
        <v>25</v>
      </c>
      <c r="BJ10" s="157">
        <f t="shared" si="17"/>
        <v>20</v>
      </c>
      <c r="BK10" s="157">
        <f t="shared" si="18"/>
        <v>0</v>
      </c>
      <c r="BL10" s="157">
        <f t="shared" si="19"/>
        <v>0</v>
      </c>
      <c r="BM10" s="157">
        <f t="shared" si="20"/>
        <v>0</v>
      </c>
      <c r="BN10" s="157">
        <f t="shared" si="21"/>
        <v>0</v>
      </c>
      <c r="BO10" s="167" t="str">
        <f t="shared" si="22"/>
        <v>P1</v>
      </c>
      <c r="BP10" s="167" t="str">
        <f t="shared" si="23"/>
        <v>P2</v>
      </c>
      <c r="BQ10" s="167" t="str">
        <f t="shared" si="24"/>
        <v>CV</v>
      </c>
      <c r="BR10" s="167" t="str">
        <f t="shared" si="25"/>
        <v>CP</v>
      </c>
      <c r="BS10" s="167">
        <f t="shared" si="26"/>
        <v>0</v>
      </c>
      <c r="BT10" s="167">
        <f t="shared" si="27"/>
        <v>0</v>
      </c>
      <c r="BU10" s="167">
        <f t="shared" si="28"/>
        <v>25</v>
      </c>
      <c r="BV10" s="167">
        <f t="shared" si="29"/>
        <v>25</v>
      </c>
      <c r="BW10" s="167">
        <f t="shared" si="30"/>
        <v>0</v>
      </c>
      <c r="BX10" s="167">
        <f t="shared" si="31"/>
        <v>0</v>
      </c>
      <c r="BY10" s="167">
        <f t="shared" si="32"/>
        <v>0</v>
      </c>
      <c r="BZ10" s="167">
        <f t="shared" si="33"/>
        <v>0</v>
      </c>
      <c r="CA10" s="157" t="str">
        <f t="shared" si="34"/>
        <v>Midterm Exam</v>
      </c>
      <c r="CB10" s="157">
        <f t="shared" si="35"/>
        <v>40</v>
      </c>
      <c r="CC10" s="157">
        <f t="shared" si="36"/>
        <v>0</v>
      </c>
      <c r="CD10" s="157" t="str">
        <f t="shared" si="37"/>
        <v xml:space="preserve"> </v>
      </c>
      <c r="CE10" s="174" t="str">
        <f t="shared" si="38"/>
        <v>LO2</v>
      </c>
      <c r="CF10" s="175">
        <f t="shared" si="39"/>
        <v>0</v>
      </c>
      <c r="CG10" s="175">
        <f t="shared" si="40"/>
        <v>0</v>
      </c>
      <c r="CH10" s="175">
        <f t="shared" si="41"/>
        <v>0</v>
      </c>
      <c r="CI10" s="175">
        <f t="shared" si="42"/>
        <v>0</v>
      </c>
      <c r="CJ10" s="175">
        <f t="shared" si="43"/>
        <v>0</v>
      </c>
      <c r="CK10" s="175">
        <f t="shared" si="44"/>
        <v>25</v>
      </c>
      <c r="CL10" s="175">
        <f t="shared" si="45"/>
        <v>0</v>
      </c>
      <c r="CM10" s="175">
        <f t="shared" si="46"/>
        <v>0</v>
      </c>
      <c r="CN10" s="175">
        <f t="shared" si="47"/>
        <v>0</v>
      </c>
      <c r="CO10" s="153">
        <f t="shared" si="48"/>
        <v>0</v>
      </c>
      <c r="CP10" s="153">
        <f t="shared" si="49"/>
        <v>0</v>
      </c>
      <c r="CQ10" s="175" t="str">
        <f t="shared" si="50"/>
        <v>P3</v>
      </c>
      <c r="CR10" s="175">
        <f t="shared" si="51"/>
        <v>0</v>
      </c>
      <c r="CS10" s="175" t="str">
        <f t="shared" si="52"/>
        <v>LS</v>
      </c>
      <c r="CT10" s="175" t="str">
        <f t="shared" si="53"/>
        <v>B</v>
      </c>
      <c r="CU10" s="175">
        <f t="shared" si="54"/>
        <v>0</v>
      </c>
      <c r="CV10" s="175">
        <f t="shared" si="55"/>
        <v>0</v>
      </c>
      <c r="CW10" s="175">
        <f t="shared" si="56"/>
        <v>25</v>
      </c>
      <c r="CX10" s="153">
        <f t="shared" si="57"/>
        <v>0</v>
      </c>
      <c r="CY10" s="153">
        <f t="shared" si="58"/>
        <v>0</v>
      </c>
      <c r="CZ10" s="153">
        <f t="shared" si="59"/>
        <v>0</v>
      </c>
      <c r="DA10" s="153">
        <f t="shared" si="60"/>
        <v>0</v>
      </c>
      <c r="DB10" s="184">
        <f t="shared" si="61"/>
        <v>0</v>
      </c>
      <c r="DC10" s="167">
        <f t="shared" si="62"/>
        <v>25</v>
      </c>
      <c r="DD10" s="167" t="str">
        <f t="shared" si="63"/>
        <v>Final Exam</v>
      </c>
      <c r="DE10" s="157" t="str">
        <f t="shared" si="64"/>
        <v xml:space="preserve"> </v>
      </c>
      <c r="DF10" s="157">
        <f t="shared" si="65"/>
        <v>0</v>
      </c>
    </row>
    <row r="11" spans="2:110" s="113" customFormat="1" ht="26.25" customHeight="1" thickBot="1" x14ac:dyDescent="0.25">
      <c r="B11" s="121" t="s">
        <v>144</v>
      </c>
      <c r="C11" s="122"/>
      <c r="D11" s="221" t="s">
        <v>17</v>
      </c>
      <c r="E11" s="221"/>
      <c r="G11" s="92">
        <v>5</v>
      </c>
      <c r="H11" s="83"/>
      <c r="I11" s="84"/>
      <c r="J11" s="98"/>
      <c r="K11" s="103"/>
      <c r="L11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1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1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1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1" s="85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7"/>
      <c r="AB11" s="89"/>
      <c r="AC11" s="90"/>
      <c r="AD11" s="88"/>
      <c r="AE11" s="88"/>
      <c r="AF11" s="88"/>
      <c r="AG11" s="86"/>
      <c r="AH11" s="86"/>
      <c r="AI11" s="87"/>
      <c r="AJ11" s="88"/>
      <c r="AK11" s="88"/>
      <c r="AL11" s="88"/>
      <c r="AM11" s="86"/>
      <c r="AN11" s="86"/>
      <c r="AO11" s="86"/>
      <c r="AP11" s="89"/>
      <c r="AQ11" s="90"/>
      <c r="AR11" s="151"/>
      <c r="AS11" s="158">
        <f t="shared" si="0"/>
        <v>0</v>
      </c>
      <c r="AT11" s="165">
        <f t="shared" si="1"/>
        <v>0.3</v>
      </c>
      <c r="AU11" s="165">
        <f t="shared" si="2"/>
        <v>0.4</v>
      </c>
      <c r="AV11" s="165">
        <f t="shared" si="3"/>
        <v>0.3</v>
      </c>
      <c r="AW11" s="165" t="str">
        <f t="shared" si="4"/>
        <v xml:space="preserve"> </v>
      </c>
      <c r="AX11" s="165">
        <f t="shared" si="5"/>
        <v>0.3</v>
      </c>
      <c r="AY11" s="165">
        <f t="shared" si="6"/>
        <v>0.4</v>
      </c>
      <c r="AZ11" s="165">
        <f t="shared" si="7"/>
        <v>0.15</v>
      </c>
      <c r="BA11" s="165">
        <f t="shared" si="8"/>
        <v>0.15</v>
      </c>
      <c r="BB11" s="165" t="str">
        <f t="shared" si="9"/>
        <v xml:space="preserve"> </v>
      </c>
      <c r="BC11" s="158" t="str">
        <f t="shared" si="10"/>
        <v>LO1</v>
      </c>
      <c r="BD11" s="158" t="str">
        <f t="shared" si="11"/>
        <v>Q1</v>
      </c>
      <c r="BE11" s="158">
        <f t="shared" si="12"/>
        <v>0</v>
      </c>
      <c r="BF11" s="158">
        <f t="shared" si="13"/>
        <v>0</v>
      </c>
      <c r="BG11" s="158">
        <f t="shared" si="14"/>
        <v>0</v>
      </c>
      <c r="BH11" s="158">
        <f t="shared" si="15"/>
        <v>0</v>
      </c>
      <c r="BI11" s="158">
        <f t="shared" si="16"/>
        <v>25</v>
      </c>
      <c r="BJ11" s="158">
        <f t="shared" si="17"/>
        <v>20</v>
      </c>
      <c r="BK11" s="158">
        <f t="shared" si="18"/>
        <v>0</v>
      </c>
      <c r="BL11" s="158">
        <f t="shared" si="19"/>
        <v>0</v>
      </c>
      <c r="BM11" s="158">
        <f t="shared" si="20"/>
        <v>0</v>
      </c>
      <c r="BN11" s="158">
        <f t="shared" si="21"/>
        <v>0</v>
      </c>
      <c r="BO11" s="168" t="str">
        <f t="shared" si="22"/>
        <v>P1</v>
      </c>
      <c r="BP11" s="168" t="str">
        <f t="shared" si="23"/>
        <v>P2</v>
      </c>
      <c r="BQ11" s="168" t="str">
        <f t="shared" si="24"/>
        <v>CV</v>
      </c>
      <c r="BR11" s="168" t="str">
        <f t="shared" si="25"/>
        <v>CP</v>
      </c>
      <c r="BS11" s="168">
        <f t="shared" si="26"/>
        <v>0</v>
      </c>
      <c r="BT11" s="168">
        <f t="shared" si="27"/>
        <v>0</v>
      </c>
      <c r="BU11" s="168">
        <f t="shared" si="28"/>
        <v>25</v>
      </c>
      <c r="BV11" s="168">
        <f t="shared" si="29"/>
        <v>25</v>
      </c>
      <c r="BW11" s="168">
        <f t="shared" si="30"/>
        <v>0</v>
      </c>
      <c r="BX11" s="168">
        <f t="shared" si="31"/>
        <v>0</v>
      </c>
      <c r="BY11" s="168">
        <f t="shared" si="32"/>
        <v>0</v>
      </c>
      <c r="BZ11" s="168">
        <f t="shared" si="33"/>
        <v>0</v>
      </c>
      <c r="CA11" s="158" t="str">
        <f t="shared" si="34"/>
        <v>Midterm Exam</v>
      </c>
      <c r="CB11" s="158">
        <f t="shared" si="35"/>
        <v>40</v>
      </c>
      <c r="CC11" s="158">
        <f t="shared" si="36"/>
        <v>0</v>
      </c>
      <c r="CD11" s="158" t="str">
        <f t="shared" si="37"/>
        <v xml:space="preserve"> </v>
      </c>
      <c r="CE11" s="176" t="str">
        <f t="shared" si="38"/>
        <v>LO2</v>
      </c>
      <c r="CF11" s="177">
        <f t="shared" si="39"/>
        <v>0</v>
      </c>
      <c r="CG11" s="177">
        <f t="shared" si="40"/>
        <v>0</v>
      </c>
      <c r="CH11" s="177">
        <f t="shared" si="41"/>
        <v>0</v>
      </c>
      <c r="CI11" s="177">
        <f t="shared" si="42"/>
        <v>0</v>
      </c>
      <c r="CJ11" s="177">
        <f t="shared" si="43"/>
        <v>0</v>
      </c>
      <c r="CK11" s="177">
        <f t="shared" si="44"/>
        <v>25</v>
      </c>
      <c r="CL11" s="177">
        <f t="shared" si="45"/>
        <v>0</v>
      </c>
      <c r="CM11" s="177">
        <f t="shared" si="46"/>
        <v>0</v>
      </c>
      <c r="CN11" s="177">
        <f t="shared" si="47"/>
        <v>0</v>
      </c>
      <c r="CO11" s="178">
        <f t="shared" si="48"/>
        <v>0</v>
      </c>
      <c r="CP11" s="178">
        <f t="shared" si="49"/>
        <v>0</v>
      </c>
      <c r="CQ11" s="177" t="str">
        <f t="shared" si="50"/>
        <v>P3</v>
      </c>
      <c r="CR11" s="177">
        <f t="shared" si="51"/>
        <v>0</v>
      </c>
      <c r="CS11" s="177" t="str">
        <f t="shared" si="52"/>
        <v>LS</v>
      </c>
      <c r="CT11" s="177" t="str">
        <f t="shared" si="53"/>
        <v>B</v>
      </c>
      <c r="CU11" s="177">
        <f t="shared" si="54"/>
        <v>0</v>
      </c>
      <c r="CV11" s="177">
        <f t="shared" si="55"/>
        <v>0</v>
      </c>
      <c r="CW11" s="177">
        <f t="shared" si="56"/>
        <v>25</v>
      </c>
      <c r="CX11" s="178">
        <f t="shared" si="57"/>
        <v>0</v>
      </c>
      <c r="CY11" s="178">
        <f t="shared" si="58"/>
        <v>0</v>
      </c>
      <c r="CZ11" s="178">
        <f t="shared" si="59"/>
        <v>0</v>
      </c>
      <c r="DA11" s="178">
        <f t="shared" si="60"/>
        <v>0</v>
      </c>
      <c r="DB11" s="185">
        <f t="shared" si="61"/>
        <v>0</v>
      </c>
      <c r="DC11" s="168">
        <f t="shared" si="62"/>
        <v>25</v>
      </c>
      <c r="DD11" s="168" t="str">
        <f t="shared" si="63"/>
        <v>Final Exam</v>
      </c>
      <c r="DE11" s="158" t="str">
        <f t="shared" si="64"/>
        <v xml:space="preserve"> </v>
      </c>
      <c r="DF11" s="158">
        <f t="shared" si="65"/>
        <v>0</v>
      </c>
    </row>
    <row r="12" spans="2:110" s="113" customFormat="1" ht="26.25" customHeight="1" thickTop="1" x14ac:dyDescent="0.2">
      <c r="B12" s="108" t="str">
        <f>'Cover Page'!T19</f>
        <v>Lecture / Laboratory</v>
      </c>
      <c r="D12" s="213" t="str">
        <f>_xlfn.CONCAT(('Cover Page'!N19), " ", ('Cover Page'!P19), "  ", ('Cover Page'!R19))</f>
        <v xml:space="preserve">MTH 7:00AM -9:00AM  </v>
      </c>
      <c r="E12" s="213"/>
      <c r="G12" s="131">
        <v>6</v>
      </c>
      <c r="H12" s="75"/>
      <c r="I12" s="76"/>
      <c r="J12" s="99"/>
      <c r="K12" s="104"/>
      <c r="L12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2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2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2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2" s="77"/>
      <c r="Q12" s="78"/>
      <c r="R12" s="78"/>
      <c r="S12" s="78"/>
      <c r="T12" s="78"/>
      <c r="U12" s="79"/>
      <c r="V12" s="80"/>
      <c r="W12" s="78"/>
      <c r="X12" s="78"/>
      <c r="Y12" s="78"/>
      <c r="Z12" s="78"/>
      <c r="AA12" s="79"/>
      <c r="AB12" s="81"/>
      <c r="AC12" s="82"/>
      <c r="AD12" s="80"/>
      <c r="AE12" s="80"/>
      <c r="AF12" s="80"/>
      <c r="AG12" s="78"/>
      <c r="AH12" s="78"/>
      <c r="AI12" s="79"/>
      <c r="AJ12" s="80"/>
      <c r="AK12" s="80"/>
      <c r="AL12" s="80"/>
      <c r="AM12" s="78"/>
      <c r="AN12" s="78"/>
      <c r="AO12" s="78"/>
      <c r="AP12" s="81"/>
      <c r="AQ12" s="82"/>
      <c r="AR12" s="149"/>
      <c r="AS12" s="159">
        <f t="shared" si="0"/>
        <v>0</v>
      </c>
      <c r="AT12" s="162">
        <f t="shared" si="1"/>
        <v>0.3</v>
      </c>
      <c r="AU12" s="162">
        <f t="shared" si="2"/>
        <v>0.4</v>
      </c>
      <c r="AV12" s="162">
        <f t="shared" si="3"/>
        <v>0.3</v>
      </c>
      <c r="AW12" s="162" t="str">
        <f t="shared" si="4"/>
        <v xml:space="preserve"> </v>
      </c>
      <c r="AX12" s="162">
        <f t="shared" si="5"/>
        <v>0.3</v>
      </c>
      <c r="AY12" s="162">
        <f t="shared" si="6"/>
        <v>0.4</v>
      </c>
      <c r="AZ12" s="162">
        <f t="shared" si="7"/>
        <v>0.15</v>
      </c>
      <c r="BA12" s="162">
        <f t="shared" si="8"/>
        <v>0.15</v>
      </c>
      <c r="BB12" s="162" t="str">
        <f t="shared" si="9"/>
        <v xml:space="preserve"> </v>
      </c>
      <c r="BC12" s="159" t="str">
        <f t="shared" si="10"/>
        <v>LO1</v>
      </c>
      <c r="BD12" s="159" t="str">
        <f t="shared" si="11"/>
        <v>Q1</v>
      </c>
      <c r="BE12" s="159">
        <f t="shared" si="12"/>
        <v>0</v>
      </c>
      <c r="BF12" s="159">
        <f t="shared" si="13"/>
        <v>0</v>
      </c>
      <c r="BG12" s="159">
        <f t="shared" si="14"/>
        <v>0</v>
      </c>
      <c r="BH12" s="159">
        <f t="shared" si="15"/>
        <v>0</v>
      </c>
      <c r="BI12" s="159">
        <f t="shared" si="16"/>
        <v>25</v>
      </c>
      <c r="BJ12" s="159">
        <f t="shared" si="17"/>
        <v>20</v>
      </c>
      <c r="BK12" s="159">
        <f t="shared" si="18"/>
        <v>0</v>
      </c>
      <c r="BL12" s="159">
        <f t="shared" si="19"/>
        <v>0</v>
      </c>
      <c r="BM12" s="159">
        <f t="shared" si="20"/>
        <v>0</v>
      </c>
      <c r="BN12" s="159">
        <f t="shared" si="21"/>
        <v>0</v>
      </c>
      <c r="BO12" s="169" t="str">
        <f t="shared" si="22"/>
        <v>P1</v>
      </c>
      <c r="BP12" s="169" t="str">
        <f t="shared" si="23"/>
        <v>P2</v>
      </c>
      <c r="BQ12" s="169" t="str">
        <f t="shared" si="24"/>
        <v>CV</v>
      </c>
      <c r="BR12" s="169" t="str">
        <f t="shared" si="25"/>
        <v>CP</v>
      </c>
      <c r="BS12" s="169">
        <f t="shared" si="26"/>
        <v>0</v>
      </c>
      <c r="BT12" s="169">
        <f t="shared" si="27"/>
        <v>0</v>
      </c>
      <c r="BU12" s="169">
        <f t="shared" si="28"/>
        <v>25</v>
      </c>
      <c r="BV12" s="169">
        <f t="shared" si="29"/>
        <v>25</v>
      </c>
      <c r="BW12" s="169">
        <f t="shared" si="30"/>
        <v>0</v>
      </c>
      <c r="BX12" s="169">
        <f t="shared" si="31"/>
        <v>0</v>
      </c>
      <c r="BY12" s="169">
        <f t="shared" si="32"/>
        <v>0</v>
      </c>
      <c r="BZ12" s="169">
        <f t="shared" si="33"/>
        <v>0</v>
      </c>
      <c r="CA12" s="159" t="str">
        <f t="shared" si="34"/>
        <v>Midterm Exam</v>
      </c>
      <c r="CB12" s="159">
        <f t="shared" si="35"/>
        <v>40</v>
      </c>
      <c r="CC12" s="159">
        <f t="shared" si="36"/>
        <v>0</v>
      </c>
      <c r="CD12" s="159" t="str">
        <f t="shared" si="37"/>
        <v xml:space="preserve"> </v>
      </c>
      <c r="CE12" s="179" t="str">
        <f t="shared" si="38"/>
        <v>LO2</v>
      </c>
      <c r="CF12" s="180">
        <f t="shared" si="39"/>
        <v>0</v>
      </c>
      <c r="CG12" s="180">
        <f t="shared" si="40"/>
        <v>0</v>
      </c>
      <c r="CH12" s="180">
        <f t="shared" si="41"/>
        <v>0</v>
      </c>
      <c r="CI12" s="180">
        <f t="shared" si="42"/>
        <v>0</v>
      </c>
      <c r="CJ12" s="180">
        <f t="shared" si="43"/>
        <v>0</v>
      </c>
      <c r="CK12" s="180">
        <f t="shared" si="44"/>
        <v>25</v>
      </c>
      <c r="CL12" s="180">
        <f t="shared" si="45"/>
        <v>0</v>
      </c>
      <c r="CM12" s="180">
        <f t="shared" si="46"/>
        <v>0</v>
      </c>
      <c r="CN12" s="180">
        <f t="shared" si="47"/>
        <v>0</v>
      </c>
      <c r="CO12" s="154">
        <f t="shared" si="48"/>
        <v>0</v>
      </c>
      <c r="CP12" s="154">
        <f t="shared" si="49"/>
        <v>0</v>
      </c>
      <c r="CQ12" s="180" t="str">
        <f t="shared" si="50"/>
        <v>P3</v>
      </c>
      <c r="CR12" s="180">
        <f t="shared" si="51"/>
        <v>0</v>
      </c>
      <c r="CS12" s="180" t="str">
        <f t="shared" si="52"/>
        <v>LS</v>
      </c>
      <c r="CT12" s="180" t="str">
        <f t="shared" si="53"/>
        <v>B</v>
      </c>
      <c r="CU12" s="180">
        <f t="shared" si="54"/>
        <v>0</v>
      </c>
      <c r="CV12" s="180">
        <f t="shared" si="55"/>
        <v>0</v>
      </c>
      <c r="CW12" s="180">
        <f t="shared" si="56"/>
        <v>25</v>
      </c>
      <c r="CX12" s="154">
        <f t="shared" si="57"/>
        <v>0</v>
      </c>
      <c r="CY12" s="154">
        <f t="shared" si="58"/>
        <v>0</v>
      </c>
      <c r="CZ12" s="154">
        <f t="shared" si="59"/>
        <v>0</v>
      </c>
      <c r="DA12" s="154">
        <f t="shared" si="60"/>
        <v>0</v>
      </c>
      <c r="DB12" s="186">
        <f t="shared" si="61"/>
        <v>0</v>
      </c>
      <c r="DC12" s="169">
        <f t="shared" si="62"/>
        <v>25</v>
      </c>
      <c r="DD12" s="169" t="str">
        <f t="shared" si="63"/>
        <v>Final Exam</v>
      </c>
      <c r="DE12" s="159" t="str">
        <f t="shared" si="64"/>
        <v xml:space="preserve"> </v>
      </c>
      <c r="DF12" s="159">
        <f t="shared" si="65"/>
        <v>0</v>
      </c>
    </row>
    <row r="13" spans="2:110" s="113" customFormat="1" ht="26.25" customHeight="1" x14ac:dyDescent="0.2">
      <c r="B13" s="121" t="s">
        <v>16</v>
      </c>
      <c r="C13" s="122"/>
      <c r="D13" s="221" t="s">
        <v>145</v>
      </c>
      <c r="E13" s="221"/>
      <c r="G13" s="60">
        <v>7</v>
      </c>
      <c r="H13" s="66"/>
      <c r="I13" s="63"/>
      <c r="J13" s="97"/>
      <c r="K13" s="102"/>
      <c r="L13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3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3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3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3" s="40"/>
      <c r="Q13" s="41"/>
      <c r="R13" s="41"/>
      <c r="S13" s="41"/>
      <c r="T13" s="41"/>
      <c r="U13" s="42"/>
      <c r="V13" s="43"/>
      <c r="W13" s="41"/>
      <c r="X13" s="41"/>
      <c r="Y13" s="41"/>
      <c r="Z13" s="41"/>
      <c r="AA13" s="42"/>
      <c r="AB13" s="44"/>
      <c r="AC13" s="73"/>
      <c r="AD13" s="43"/>
      <c r="AE13" s="43"/>
      <c r="AF13" s="43"/>
      <c r="AG13" s="41"/>
      <c r="AH13" s="41"/>
      <c r="AI13" s="42"/>
      <c r="AJ13" s="43"/>
      <c r="AK13" s="43"/>
      <c r="AL13" s="43"/>
      <c r="AM13" s="41"/>
      <c r="AN13" s="41"/>
      <c r="AO13" s="41"/>
      <c r="AP13" s="44"/>
      <c r="AQ13" s="73"/>
      <c r="AR13" s="150"/>
      <c r="AS13" s="157">
        <f t="shared" si="0"/>
        <v>0</v>
      </c>
      <c r="AT13" s="161">
        <f t="shared" si="1"/>
        <v>0.3</v>
      </c>
      <c r="AU13" s="161">
        <f t="shared" si="2"/>
        <v>0.4</v>
      </c>
      <c r="AV13" s="161">
        <f t="shared" si="3"/>
        <v>0.3</v>
      </c>
      <c r="AW13" s="161" t="str">
        <f t="shared" si="4"/>
        <v xml:space="preserve"> </v>
      </c>
      <c r="AX13" s="161">
        <f t="shared" si="5"/>
        <v>0.3</v>
      </c>
      <c r="AY13" s="161">
        <f t="shared" si="6"/>
        <v>0.4</v>
      </c>
      <c r="AZ13" s="161">
        <f t="shared" si="7"/>
        <v>0.15</v>
      </c>
      <c r="BA13" s="161">
        <f t="shared" si="8"/>
        <v>0.15</v>
      </c>
      <c r="BB13" s="161" t="str">
        <f t="shared" si="9"/>
        <v xml:space="preserve"> </v>
      </c>
      <c r="BC13" s="157" t="str">
        <f t="shared" si="10"/>
        <v>LO1</v>
      </c>
      <c r="BD13" s="157" t="str">
        <f t="shared" si="11"/>
        <v>Q1</v>
      </c>
      <c r="BE13" s="157">
        <f t="shared" si="12"/>
        <v>0</v>
      </c>
      <c r="BF13" s="157">
        <f t="shared" si="13"/>
        <v>0</v>
      </c>
      <c r="BG13" s="157">
        <f t="shared" si="14"/>
        <v>0</v>
      </c>
      <c r="BH13" s="157">
        <f t="shared" si="15"/>
        <v>0</v>
      </c>
      <c r="BI13" s="157">
        <f t="shared" si="16"/>
        <v>25</v>
      </c>
      <c r="BJ13" s="157">
        <f t="shared" si="17"/>
        <v>20</v>
      </c>
      <c r="BK13" s="157">
        <f t="shared" si="18"/>
        <v>0</v>
      </c>
      <c r="BL13" s="157">
        <f t="shared" si="19"/>
        <v>0</v>
      </c>
      <c r="BM13" s="157">
        <f t="shared" si="20"/>
        <v>0</v>
      </c>
      <c r="BN13" s="157">
        <f t="shared" si="21"/>
        <v>0</v>
      </c>
      <c r="BO13" s="167" t="str">
        <f t="shared" si="22"/>
        <v>P1</v>
      </c>
      <c r="BP13" s="167" t="str">
        <f t="shared" si="23"/>
        <v>P2</v>
      </c>
      <c r="BQ13" s="167" t="str">
        <f t="shared" si="24"/>
        <v>CV</v>
      </c>
      <c r="BR13" s="167" t="str">
        <f t="shared" si="25"/>
        <v>CP</v>
      </c>
      <c r="BS13" s="167">
        <f t="shared" si="26"/>
        <v>0</v>
      </c>
      <c r="BT13" s="167">
        <f t="shared" si="27"/>
        <v>0</v>
      </c>
      <c r="BU13" s="167">
        <f t="shared" si="28"/>
        <v>25</v>
      </c>
      <c r="BV13" s="167">
        <f t="shared" si="29"/>
        <v>25</v>
      </c>
      <c r="BW13" s="167">
        <f t="shared" si="30"/>
        <v>0</v>
      </c>
      <c r="BX13" s="167">
        <f t="shared" si="31"/>
        <v>0</v>
      </c>
      <c r="BY13" s="167">
        <f t="shared" si="32"/>
        <v>0</v>
      </c>
      <c r="BZ13" s="167">
        <f t="shared" si="33"/>
        <v>0</v>
      </c>
      <c r="CA13" s="157" t="str">
        <f t="shared" si="34"/>
        <v>Midterm Exam</v>
      </c>
      <c r="CB13" s="157">
        <f t="shared" si="35"/>
        <v>40</v>
      </c>
      <c r="CC13" s="157">
        <f t="shared" si="36"/>
        <v>0</v>
      </c>
      <c r="CD13" s="157" t="str">
        <f t="shared" si="37"/>
        <v xml:space="preserve"> </v>
      </c>
      <c r="CE13" s="174" t="str">
        <f t="shared" si="38"/>
        <v>LO2</v>
      </c>
      <c r="CF13" s="175">
        <f t="shared" si="39"/>
        <v>0</v>
      </c>
      <c r="CG13" s="175">
        <f t="shared" si="40"/>
        <v>0</v>
      </c>
      <c r="CH13" s="175">
        <f t="shared" si="41"/>
        <v>0</v>
      </c>
      <c r="CI13" s="175">
        <f t="shared" si="42"/>
        <v>0</v>
      </c>
      <c r="CJ13" s="175">
        <f t="shared" si="43"/>
        <v>0</v>
      </c>
      <c r="CK13" s="175">
        <f t="shared" si="44"/>
        <v>25</v>
      </c>
      <c r="CL13" s="175">
        <f t="shared" si="45"/>
        <v>0</v>
      </c>
      <c r="CM13" s="175">
        <f t="shared" si="46"/>
        <v>0</v>
      </c>
      <c r="CN13" s="175">
        <f t="shared" si="47"/>
        <v>0</v>
      </c>
      <c r="CO13" s="153">
        <f t="shared" si="48"/>
        <v>0</v>
      </c>
      <c r="CP13" s="153">
        <f t="shared" si="49"/>
        <v>0</v>
      </c>
      <c r="CQ13" s="175" t="str">
        <f t="shared" si="50"/>
        <v>P3</v>
      </c>
      <c r="CR13" s="175">
        <f t="shared" si="51"/>
        <v>0</v>
      </c>
      <c r="CS13" s="175" t="str">
        <f t="shared" si="52"/>
        <v>LS</v>
      </c>
      <c r="CT13" s="175" t="str">
        <f t="shared" si="53"/>
        <v>B</v>
      </c>
      <c r="CU13" s="175">
        <f t="shared" si="54"/>
        <v>0</v>
      </c>
      <c r="CV13" s="175">
        <f t="shared" si="55"/>
        <v>0</v>
      </c>
      <c r="CW13" s="175">
        <f t="shared" si="56"/>
        <v>25</v>
      </c>
      <c r="CX13" s="153">
        <f t="shared" si="57"/>
        <v>0</v>
      </c>
      <c r="CY13" s="153">
        <f t="shared" si="58"/>
        <v>0</v>
      </c>
      <c r="CZ13" s="153">
        <f t="shared" si="59"/>
        <v>0</v>
      </c>
      <c r="DA13" s="153">
        <f t="shared" si="60"/>
        <v>0</v>
      </c>
      <c r="DB13" s="184">
        <f t="shared" si="61"/>
        <v>0</v>
      </c>
      <c r="DC13" s="167">
        <f t="shared" si="62"/>
        <v>25</v>
      </c>
      <c r="DD13" s="167" t="str">
        <f t="shared" si="63"/>
        <v>Final Exam</v>
      </c>
      <c r="DE13" s="157" t="str">
        <f t="shared" si="64"/>
        <v xml:space="preserve"> </v>
      </c>
      <c r="DF13" s="157">
        <f t="shared" si="65"/>
        <v>0</v>
      </c>
    </row>
    <row r="14" spans="2:110" s="113" customFormat="1" ht="26.25" customHeight="1" thickBot="1" x14ac:dyDescent="0.25">
      <c r="D14" s="106"/>
      <c r="E14" s="106"/>
      <c r="G14" s="60">
        <v>8</v>
      </c>
      <c r="H14" s="66"/>
      <c r="I14" s="63"/>
      <c r="J14" s="97"/>
      <c r="K14" s="102"/>
      <c r="L14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4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4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4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4" s="40"/>
      <c r="Q14" s="41"/>
      <c r="R14" s="41"/>
      <c r="S14" s="41"/>
      <c r="T14" s="41"/>
      <c r="U14" s="42"/>
      <c r="V14" s="43"/>
      <c r="W14" s="41"/>
      <c r="X14" s="41"/>
      <c r="Y14" s="41"/>
      <c r="Z14" s="41"/>
      <c r="AA14" s="42"/>
      <c r="AB14" s="44"/>
      <c r="AC14" s="73"/>
      <c r="AD14" s="43"/>
      <c r="AE14" s="43"/>
      <c r="AF14" s="43"/>
      <c r="AG14" s="41"/>
      <c r="AH14" s="41"/>
      <c r="AI14" s="42"/>
      <c r="AJ14" s="43"/>
      <c r="AK14" s="43"/>
      <c r="AL14" s="43"/>
      <c r="AM14" s="41"/>
      <c r="AN14" s="41"/>
      <c r="AO14" s="41"/>
      <c r="AP14" s="44"/>
      <c r="AQ14" s="73"/>
      <c r="AR14" s="150"/>
      <c r="AS14" s="157">
        <f t="shared" si="0"/>
        <v>0</v>
      </c>
      <c r="AT14" s="161">
        <f t="shared" si="1"/>
        <v>0.3</v>
      </c>
      <c r="AU14" s="161">
        <f t="shared" si="2"/>
        <v>0.4</v>
      </c>
      <c r="AV14" s="161">
        <f t="shared" si="3"/>
        <v>0.3</v>
      </c>
      <c r="AW14" s="161" t="str">
        <f t="shared" si="4"/>
        <v xml:space="preserve"> </v>
      </c>
      <c r="AX14" s="161">
        <f t="shared" si="5"/>
        <v>0.3</v>
      </c>
      <c r="AY14" s="161">
        <f t="shared" si="6"/>
        <v>0.4</v>
      </c>
      <c r="AZ14" s="161">
        <f t="shared" si="7"/>
        <v>0.15</v>
      </c>
      <c r="BA14" s="161">
        <f t="shared" si="8"/>
        <v>0.15</v>
      </c>
      <c r="BB14" s="161" t="str">
        <f t="shared" si="9"/>
        <v xml:space="preserve"> </v>
      </c>
      <c r="BC14" s="157" t="str">
        <f t="shared" si="10"/>
        <v>LO1</v>
      </c>
      <c r="BD14" s="157" t="str">
        <f t="shared" si="11"/>
        <v>Q1</v>
      </c>
      <c r="BE14" s="157">
        <f t="shared" si="12"/>
        <v>0</v>
      </c>
      <c r="BF14" s="157">
        <f t="shared" si="13"/>
        <v>0</v>
      </c>
      <c r="BG14" s="157">
        <f t="shared" si="14"/>
        <v>0</v>
      </c>
      <c r="BH14" s="157">
        <f t="shared" si="15"/>
        <v>0</v>
      </c>
      <c r="BI14" s="157">
        <f t="shared" si="16"/>
        <v>25</v>
      </c>
      <c r="BJ14" s="157">
        <f t="shared" si="17"/>
        <v>20</v>
      </c>
      <c r="BK14" s="157">
        <f t="shared" si="18"/>
        <v>0</v>
      </c>
      <c r="BL14" s="157">
        <f t="shared" si="19"/>
        <v>0</v>
      </c>
      <c r="BM14" s="157">
        <f t="shared" si="20"/>
        <v>0</v>
      </c>
      <c r="BN14" s="157">
        <f t="shared" si="21"/>
        <v>0</v>
      </c>
      <c r="BO14" s="167" t="str">
        <f t="shared" si="22"/>
        <v>P1</v>
      </c>
      <c r="BP14" s="167" t="str">
        <f t="shared" si="23"/>
        <v>P2</v>
      </c>
      <c r="BQ14" s="167" t="str">
        <f t="shared" si="24"/>
        <v>CV</v>
      </c>
      <c r="BR14" s="167" t="str">
        <f t="shared" si="25"/>
        <v>CP</v>
      </c>
      <c r="BS14" s="167">
        <f t="shared" si="26"/>
        <v>0</v>
      </c>
      <c r="BT14" s="167">
        <f t="shared" si="27"/>
        <v>0</v>
      </c>
      <c r="BU14" s="167">
        <f t="shared" si="28"/>
        <v>25</v>
      </c>
      <c r="BV14" s="167">
        <f t="shared" si="29"/>
        <v>25</v>
      </c>
      <c r="BW14" s="167">
        <f t="shared" si="30"/>
        <v>0</v>
      </c>
      <c r="BX14" s="167">
        <f t="shared" si="31"/>
        <v>0</v>
      </c>
      <c r="BY14" s="167">
        <f t="shared" si="32"/>
        <v>0</v>
      </c>
      <c r="BZ14" s="167">
        <f t="shared" si="33"/>
        <v>0</v>
      </c>
      <c r="CA14" s="157" t="str">
        <f t="shared" si="34"/>
        <v>Midterm Exam</v>
      </c>
      <c r="CB14" s="157">
        <f t="shared" si="35"/>
        <v>40</v>
      </c>
      <c r="CC14" s="157">
        <f t="shared" si="36"/>
        <v>0</v>
      </c>
      <c r="CD14" s="157" t="str">
        <f t="shared" si="37"/>
        <v xml:space="preserve"> </v>
      </c>
      <c r="CE14" s="174" t="str">
        <f t="shared" si="38"/>
        <v>LO2</v>
      </c>
      <c r="CF14" s="175">
        <f t="shared" si="39"/>
        <v>0</v>
      </c>
      <c r="CG14" s="175">
        <f t="shared" si="40"/>
        <v>0</v>
      </c>
      <c r="CH14" s="175">
        <f t="shared" si="41"/>
        <v>0</v>
      </c>
      <c r="CI14" s="175">
        <f t="shared" si="42"/>
        <v>0</v>
      </c>
      <c r="CJ14" s="175">
        <f t="shared" si="43"/>
        <v>0</v>
      </c>
      <c r="CK14" s="175">
        <f t="shared" si="44"/>
        <v>25</v>
      </c>
      <c r="CL14" s="175">
        <f t="shared" si="45"/>
        <v>0</v>
      </c>
      <c r="CM14" s="175">
        <f t="shared" si="46"/>
        <v>0</v>
      </c>
      <c r="CN14" s="175">
        <f t="shared" si="47"/>
        <v>0</v>
      </c>
      <c r="CO14" s="153">
        <f t="shared" si="48"/>
        <v>0</v>
      </c>
      <c r="CP14" s="153">
        <f t="shared" si="49"/>
        <v>0</v>
      </c>
      <c r="CQ14" s="175" t="str">
        <f t="shared" si="50"/>
        <v>P3</v>
      </c>
      <c r="CR14" s="175">
        <f t="shared" si="51"/>
        <v>0</v>
      </c>
      <c r="CS14" s="175" t="str">
        <f t="shared" si="52"/>
        <v>LS</v>
      </c>
      <c r="CT14" s="175" t="str">
        <f t="shared" si="53"/>
        <v>B</v>
      </c>
      <c r="CU14" s="175">
        <f t="shared" si="54"/>
        <v>0</v>
      </c>
      <c r="CV14" s="175">
        <f t="shared" si="55"/>
        <v>0</v>
      </c>
      <c r="CW14" s="175">
        <f t="shared" si="56"/>
        <v>25</v>
      </c>
      <c r="CX14" s="153">
        <f t="shared" si="57"/>
        <v>0</v>
      </c>
      <c r="CY14" s="153">
        <f t="shared" si="58"/>
        <v>0</v>
      </c>
      <c r="CZ14" s="153">
        <f t="shared" si="59"/>
        <v>0</v>
      </c>
      <c r="DA14" s="153">
        <f t="shared" si="60"/>
        <v>0</v>
      </c>
      <c r="DB14" s="184">
        <f t="shared" si="61"/>
        <v>0</v>
      </c>
      <c r="DC14" s="167">
        <f t="shared" si="62"/>
        <v>25</v>
      </c>
      <c r="DD14" s="167" t="str">
        <f t="shared" si="63"/>
        <v>Final Exam</v>
      </c>
      <c r="DE14" s="157" t="str">
        <f t="shared" si="64"/>
        <v xml:space="preserve"> </v>
      </c>
      <c r="DF14" s="157">
        <f t="shared" si="65"/>
        <v>0</v>
      </c>
    </row>
    <row r="15" spans="2:110" s="113" customFormat="1" ht="26.25" customHeight="1" thickBot="1" x14ac:dyDescent="0.25">
      <c r="B15" s="248" t="s">
        <v>146</v>
      </c>
      <c r="C15" s="249"/>
      <c r="D15" s="252" t="s">
        <v>147</v>
      </c>
      <c r="E15" s="253"/>
      <c r="G15" s="60">
        <v>9</v>
      </c>
      <c r="H15" s="66"/>
      <c r="I15" s="63"/>
      <c r="J15" s="97"/>
      <c r="K15" s="102"/>
      <c r="L15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5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5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5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5" s="40"/>
      <c r="Q15" s="41"/>
      <c r="R15" s="41"/>
      <c r="S15" s="41"/>
      <c r="T15" s="41"/>
      <c r="U15" s="42"/>
      <c r="V15" s="43"/>
      <c r="W15" s="41"/>
      <c r="X15" s="41"/>
      <c r="Y15" s="41"/>
      <c r="Z15" s="41"/>
      <c r="AA15" s="42"/>
      <c r="AB15" s="44"/>
      <c r="AC15" s="73"/>
      <c r="AD15" s="43"/>
      <c r="AE15" s="43"/>
      <c r="AF15" s="43"/>
      <c r="AG15" s="41"/>
      <c r="AH15" s="41"/>
      <c r="AI15" s="42"/>
      <c r="AJ15" s="43"/>
      <c r="AK15" s="43"/>
      <c r="AL15" s="43"/>
      <c r="AM15" s="41"/>
      <c r="AN15" s="41"/>
      <c r="AO15" s="41"/>
      <c r="AP15" s="44"/>
      <c r="AQ15" s="73"/>
      <c r="AR15" s="150"/>
      <c r="AS15" s="157">
        <f t="shared" si="0"/>
        <v>0</v>
      </c>
      <c r="AT15" s="161">
        <f t="shared" si="1"/>
        <v>0.3</v>
      </c>
      <c r="AU15" s="161">
        <f t="shared" si="2"/>
        <v>0.4</v>
      </c>
      <c r="AV15" s="161">
        <f t="shared" si="3"/>
        <v>0.3</v>
      </c>
      <c r="AW15" s="161" t="str">
        <f t="shared" si="4"/>
        <v xml:space="preserve"> </v>
      </c>
      <c r="AX15" s="161">
        <f t="shared" si="5"/>
        <v>0.3</v>
      </c>
      <c r="AY15" s="161">
        <f t="shared" si="6"/>
        <v>0.4</v>
      </c>
      <c r="AZ15" s="161">
        <f t="shared" si="7"/>
        <v>0.15</v>
      </c>
      <c r="BA15" s="161">
        <f t="shared" si="8"/>
        <v>0.15</v>
      </c>
      <c r="BB15" s="161" t="str">
        <f t="shared" si="9"/>
        <v xml:space="preserve"> </v>
      </c>
      <c r="BC15" s="157" t="str">
        <f t="shared" si="10"/>
        <v>LO1</v>
      </c>
      <c r="BD15" s="157" t="str">
        <f t="shared" si="11"/>
        <v>Q1</v>
      </c>
      <c r="BE15" s="157">
        <f t="shared" si="12"/>
        <v>0</v>
      </c>
      <c r="BF15" s="157">
        <f t="shared" si="13"/>
        <v>0</v>
      </c>
      <c r="BG15" s="157">
        <f t="shared" si="14"/>
        <v>0</v>
      </c>
      <c r="BH15" s="157">
        <f t="shared" si="15"/>
        <v>0</v>
      </c>
      <c r="BI15" s="157">
        <f t="shared" si="16"/>
        <v>25</v>
      </c>
      <c r="BJ15" s="157">
        <f t="shared" si="17"/>
        <v>20</v>
      </c>
      <c r="BK15" s="157">
        <f t="shared" si="18"/>
        <v>0</v>
      </c>
      <c r="BL15" s="157">
        <f t="shared" si="19"/>
        <v>0</v>
      </c>
      <c r="BM15" s="157">
        <f t="shared" si="20"/>
        <v>0</v>
      </c>
      <c r="BN15" s="157">
        <f t="shared" si="21"/>
        <v>0</v>
      </c>
      <c r="BO15" s="167" t="str">
        <f t="shared" si="22"/>
        <v>P1</v>
      </c>
      <c r="BP15" s="167" t="str">
        <f t="shared" si="23"/>
        <v>P2</v>
      </c>
      <c r="BQ15" s="167" t="str">
        <f t="shared" si="24"/>
        <v>CV</v>
      </c>
      <c r="BR15" s="167" t="str">
        <f t="shared" si="25"/>
        <v>CP</v>
      </c>
      <c r="BS15" s="167">
        <f t="shared" si="26"/>
        <v>0</v>
      </c>
      <c r="BT15" s="167">
        <f t="shared" si="27"/>
        <v>0</v>
      </c>
      <c r="BU15" s="167">
        <f t="shared" si="28"/>
        <v>25</v>
      </c>
      <c r="BV15" s="167">
        <f t="shared" si="29"/>
        <v>25</v>
      </c>
      <c r="BW15" s="167">
        <f t="shared" si="30"/>
        <v>0</v>
      </c>
      <c r="BX15" s="167">
        <f t="shared" si="31"/>
        <v>0</v>
      </c>
      <c r="BY15" s="167">
        <f t="shared" si="32"/>
        <v>0</v>
      </c>
      <c r="BZ15" s="167">
        <f t="shared" si="33"/>
        <v>0</v>
      </c>
      <c r="CA15" s="157" t="str">
        <f t="shared" si="34"/>
        <v>Midterm Exam</v>
      </c>
      <c r="CB15" s="157">
        <f t="shared" si="35"/>
        <v>40</v>
      </c>
      <c r="CC15" s="157">
        <f t="shared" si="36"/>
        <v>0</v>
      </c>
      <c r="CD15" s="157" t="str">
        <f t="shared" si="37"/>
        <v xml:space="preserve"> </v>
      </c>
      <c r="CE15" s="174" t="str">
        <f t="shared" si="38"/>
        <v>LO2</v>
      </c>
      <c r="CF15" s="175">
        <f t="shared" si="39"/>
        <v>0</v>
      </c>
      <c r="CG15" s="175">
        <f t="shared" si="40"/>
        <v>0</v>
      </c>
      <c r="CH15" s="175">
        <f t="shared" si="41"/>
        <v>0</v>
      </c>
      <c r="CI15" s="175">
        <f t="shared" si="42"/>
        <v>0</v>
      </c>
      <c r="CJ15" s="175">
        <f t="shared" si="43"/>
        <v>0</v>
      </c>
      <c r="CK15" s="175">
        <f t="shared" si="44"/>
        <v>25</v>
      </c>
      <c r="CL15" s="175">
        <f t="shared" si="45"/>
        <v>0</v>
      </c>
      <c r="CM15" s="175">
        <f t="shared" si="46"/>
        <v>0</v>
      </c>
      <c r="CN15" s="175">
        <f t="shared" si="47"/>
        <v>0</v>
      </c>
      <c r="CO15" s="153">
        <f t="shared" si="48"/>
        <v>0</v>
      </c>
      <c r="CP15" s="153">
        <f t="shared" si="49"/>
        <v>0</v>
      </c>
      <c r="CQ15" s="175" t="str">
        <f t="shared" si="50"/>
        <v>P3</v>
      </c>
      <c r="CR15" s="175">
        <f t="shared" si="51"/>
        <v>0</v>
      </c>
      <c r="CS15" s="175" t="str">
        <f t="shared" si="52"/>
        <v>LS</v>
      </c>
      <c r="CT15" s="175" t="str">
        <f t="shared" si="53"/>
        <v>B</v>
      </c>
      <c r="CU15" s="175">
        <f t="shared" si="54"/>
        <v>0</v>
      </c>
      <c r="CV15" s="175">
        <f t="shared" si="55"/>
        <v>0</v>
      </c>
      <c r="CW15" s="175">
        <f t="shared" si="56"/>
        <v>25</v>
      </c>
      <c r="CX15" s="153">
        <f t="shared" si="57"/>
        <v>0</v>
      </c>
      <c r="CY15" s="153">
        <f t="shared" si="58"/>
        <v>0</v>
      </c>
      <c r="CZ15" s="153">
        <f t="shared" si="59"/>
        <v>0</v>
      </c>
      <c r="DA15" s="153">
        <f t="shared" si="60"/>
        <v>0</v>
      </c>
      <c r="DB15" s="184">
        <f t="shared" si="61"/>
        <v>0</v>
      </c>
      <c r="DC15" s="167">
        <f t="shared" si="62"/>
        <v>25</v>
      </c>
      <c r="DD15" s="167" t="str">
        <f t="shared" si="63"/>
        <v>Final Exam</v>
      </c>
      <c r="DE15" s="157" t="str">
        <f t="shared" si="64"/>
        <v xml:space="preserve"> </v>
      </c>
      <c r="DF15" s="157">
        <f t="shared" si="65"/>
        <v>0</v>
      </c>
    </row>
    <row r="16" spans="2:110" s="113" customFormat="1" ht="26.25" customHeight="1" thickBot="1" x14ac:dyDescent="0.25">
      <c r="B16" s="250"/>
      <c r="C16" s="251"/>
      <c r="D16" s="135" t="s">
        <v>28</v>
      </c>
      <c r="E16" s="136" t="s">
        <v>29</v>
      </c>
      <c r="G16" s="92">
        <v>10</v>
      </c>
      <c r="H16" s="83"/>
      <c r="I16" s="84"/>
      <c r="J16" s="98"/>
      <c r="K16" s="103"/>
      <c r="L16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6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6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6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6" s="85"/>
      <c r="Q16" s="86"/>
      <c r="R16" s="86"/>
      <c r="S16" s="86"/>
      <c r="T16" s="86"/>
      <c r="U16" s="87"/>
      <c r="V16" s="88"/>
      <c r="W16" s="86"/>
      <c r="X16" s="86"/>
      <c r="Y16" s="86"/>
      <c r="Z16" s="86"/>
      <c r="AA16" s="87"/>
      <c r="AB16" s="89"/>
      <c r="AC16" s="90"/>
      <c r="AD16" s="88"/>
      <c r="AE16" s="88"/>
      <c r="AF16" s="88"/>
      <c r="AG16" s="86"/>
      <c r="AH16" s="86"/>
      <c r="AI16" s="87"/>
      <c r="AJ16" s="88"/>
      <c r="AK16" s="88"/>
      <c r="AL16" s="88"/>
      <c r="AM16" s="86"/>
      <c r="AN16" s="86"/>
      <c r="AO16" s="86"/>
      <c r="AP16" s="89"/>
      <c r="AQ16" s="90"/>
      <c r="AR16" s="151"/>
      <c r="AS16" s="158">
        <f t="shared" si="0"/>
        <v>0</v>
      </c>
      <c r="AT16" s="165">
        <f t="shared" si="1"/>
        <v>0.3</v>
      </c>
      <c r="AU16" s="165">
        <f t="shared" si="2"/>
        <v>0.4</v>
      </c>
      <c r="AV16" s="165">
        <f t="shared" si="3"/>
        <v>0.3</v>
      </c>
      <c r="AW16" s="165" t="str">
        <f t="shared" si="4"/>
        <v xml:space="preserve"> </v>
      </c>
      <c r="AX16" s="165">
        <f t="shared" si="5"/>
        <v>0.3</v>
      </c>
      <c r="AY16" s="165">
        <f t="shared" si="6"/>
        <v>0.4</v>
      </c>
      <c r="AZ16" s="165">
        <f t="shared" si="7"/>
        <v>0.15</v>
      </c>
      <c r="BA16" s="165">
        <f t="shared" si="8"/>
        <v>0.15</v>
      </c>
      <c r="BB16" s="165" t="str">
        <f t="shared" si="9"/>
        <v xml:space="preserve"> </v>
      </c>
      <c r="BC16" s="158" t="str">
        <f t="shared" si="10"/>
        <v>LO1</v>
      </c>
      <c r="BD16" s="158" t="str">
        <f t="shared" si="11"/>
        <v>Q1</v>
      </c>
      <c r="BE16" s="158">
        <f t="shared" si="12"/>
        <v>0</v>
      </c>
      <c r="BF16" s="158">
        <f t="shared" si="13"/>
        <v>0</v>
      </c>
      <c r="BG16" s="158">
        <f t="shared" si="14"/>
        <v>0</v>
      </c>
      <c r="BH16" s="158">
        <f t="shared" si="15"/>
        <v>0</v>
      </c>
      <c r="BI16" s="158">
        <f t="shared" si="16"/>
        <v>25</v>
      </c>
      <c r="BJ16" s="158">
        <f t="shared" si="17"/>
        <v>20</v>
      </c>
      <c r="BK16" s="158">
        <f t="shared" si="18"/>
        <v>0</v>
      </c>
      <c r="BL16" s="158">
        <f t="shared" si="19"/>
        <v>0</v>
      </c>
      <c r="BM16" s="158">
        <f t="shared" si="20"/>
        <v>0</v>
      </c>
      <c r="BN16" s="158">
        <f t="shared" si="21"/>
        <v>0</v>
      </c>
      <c r="BO16" s="168" t="str">
        <f t="shared" si="22"/>
        <v>P1</v>
      </c>
      <c r="BP16" s="168" t="str">
        <f t="shared" si="23"/>
        <v>P2</v>
      </c>
      <c r="BQ16" s="168" t="str">
        <f t="shared" si="24"/>
        <v>CV</v>
      </c>
      <c r="BR16" s="168" t="str">
        <f t="shared" si="25"/>
        <v>CP</v>
      </c>
      <c r="BS16" s="168">
        <f t="shared" si="26"/>
        <v>0</v>
      </c>
      <c r="BT16" s="168">
        <f t="shared" si="27"/>
        <v>0</v>
      </c>
      <c r="BU16" s="168">
        <f t="shared" si="28"/>
        <v>25</v>
      </c>
      <c r="BV16" s="168">
        <f t="shared" si="29"/>
        <v>25</v>
      </c>
      <c r="BW16" s="168">
        <f t="shared" si="30"/>
        <v>0</v>
      </c>
      <c r="BX16" s="168">
        <f t="shared" si="31"/>
        <v>0</v>
      </c>
      <c r="BY16" s="168">
        <f t="shared" si="32"/>
        <v>0</v>
      </c>
      <c r="BZ16" s="168">
        <f t="shared" si="33"/>
        <v>0</v>
      </c>
      <c r="CA16" s="158" t="str">
        <f t="shared" si="34"/>
        <v>Midterm Exam</v>
      </c>
      <c r="CB16" s="158">
        <f t="shared" si="35"/>
        <v>40</v>
      </c>
      <c r="CC16" s="158">
        <f t="shared" si="36"/>
        <v>0</v>
      </c>
      <c r="CD16" s="158" t="str">
        <f t="shared" si="37"/>
        <v xml:space="preserve"> </v>
      </c>
      <c r="CE16" s="176" t="str">
        <f t="shared" si="38"/>
        <v>LO2</v>
      </c>
      <c r="CF16" s="177">
        <f t="shared" si="39"/>
        <v>0</v>
      </c>
      <c r="CG16" s="177">
        <f t="shared" si="40"/>
        <v>0</v>
      </c>
      <c r="CH16" s="177">
        <f t="shared" si="41"/>
        <v>0</v>
      </c>
      <c r="CI16" s="177">
        <f t="shared" si="42"/>
        <v>0</v>
      </c>
      <c r="CJ16" s="177">
        <f t="shared" si="43"/>
        <v>0</v>
      </c>
      <c r="CK16" s="177">
        <f t="shared" si="44"/>
        <v>25</v>
      </c>
      <c r="CL16" s="177">
        <f t="shared" si="45"/>
        <v>0</v>
      </c>
      <c r="CM16" s="177">
        <f t="shared" si="46"/>
        <v>0</v>
      </c>
      <c r="CN16" s="177">
        <f t="shared" si="47"/>
        <v>0</v>
      </c>
      <c r="CO16" s="178">
        <f t="shared" si="48"/>
        <v>0</v>
      </c>
      <c r="CP16" s="178">
        <f t="shared" si="49"/>
        <v>0</v>
      </c>
      <c r="CQ16" s="177" t="str">
        <f t="shared" si="50"/>
        <v>P3</v>
      </c>
      <c r="CR16" s="177">
        <f t="shared" si="51"/>
        <v>0</v>
      </c>
      <c r="CS16" s="177" t="str">
        <f t="shared" si="52"/>
        <v>LS</v>
      </c>
      <c r="CT16" s="177" t="str">
        <f t="shared" si="53"/>
        <v>B</v>
      </c>
      <c r="CU16" s="177">
        <f t="shared" si="54"/>
        <v>0</v>
      </c>
      <c r="CV16" s="177">
        <f t="shared" si="55"/>
        <v>0</v>
      </c>
      <c r="CW16" s="177">
        <f t="shared" si="56"/>
        <v>25</v>
      </c>
      <c r="CX16" s="178">
        <f t="shared" si="57"/>
        <v>0</v>
      </c>
      <c r="CY16" s="178">
        <f t="shared" si="58"/>
        <v>0</v>
      </c>
      <c r="CZ16" s="178">
        <f t="shared" si="59"/>
        <v>0</v>
      </c>
      <c r="DA16" s="178">
        <f t="shared" si="60"/>
        <v>0</v>
      </c>
      <c r="DB16" s="185">
        <f t="shared" si="61"/>
        <v>0</v>
      </c>
      <c r="DC16" s="168">
        <f t="shared" si="62"/>
        <v>25</v>
      </c>
      <c r="DD16" s="168" t="str">
        <f t="shared" si="63"/>
        <v>Final Exam</v>
      </c>
      <c r="DE16" s="158" t="str">
        <f t="shared" si="64"/>
        <v xml:space="preserve"> </v>
      </c>
      <c r="DF16" s="158">
        <f t="shared" si="65"/>
        <v>0</v>
      </c>
    </row>
    <row r="17" spans="2:110" s="113" customFormat="1" ht="26.25" customHeight="1" x14ac:dyDescent="0.2">
      <c r="B17" s="254" t="s">
        <v>293</v>
      </c>
      <c r="C17" s="255"/>
      <c r="D17" s="54">
        <v>0.3</v>
      </c>
      <c r="E17" s="55">
        <v>0.3</v>
      </c>
      <c r="G17" s="131">
        <v>11</v>
      </c>
      <c r="H17" s="75"/>
      <c r="I17" s="76"/>
      <c r="J17" s="99"/>
      <c r="K17" s="104"/>
      <c r="L17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7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7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7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7" s="77"/>
      <c r="Q17" s="78"/>
      <c r="R17" s="78"/>
      <c r="S17" s="78"/>
      <c r="T17" s="78"/>
      <c r="U17" s="79"/>
      <c r="V17" s="80"/>
      <c r="W17" s="78"/>
      <c r="X17" s="78"/>
      <c r="Y17" s="78"/>
      <c r="Z17" s="78"/>
      <c r="AA17" s="79"/>
      <c r="AB17" s="81"/>
      <c r="AC17" s="82"/>
      <c r="AD17" s="80"/>
      <c r="AE17" s="80"/>
      <c r="AF17" s="80"/>
      <c r="AG17" s="78"/>
      <c r="AH17" s="78"/>
      <c r="AI17" s="79"/>
      <c r="AJ17" s="80"/>
      <c r="AK17" s="80"/>
      <c r="AL17" s="80"/>
      <c r="AM17" s="78"/>
      <c r="AN17" s="78"/>
      <c r="AO17" s="78"/>
      <c r="AP17" s="81"/>
      <c r="AQ17" s="82"/>
      <c r="AR17" s="149"/>
      <c r="AS17" s="159">
        <f t="shared" si="0"/>
        <v>0</v>
      </c>
      <c r="AT17" s="162">
        <f t="shared" si="1"/>
        <v>0.3</v>
      </c>
      <c r="AU17" s="162">
        <f t="shared" si="2"/>
        <v>0.4</v>
      </c>
      <c r="AV17" s="162">
        <f t="shared" si="3"/>
        <v>0.3</v>
      </c>
      <c r="AW17" s="162" t="str">
        <f t="shared" si="4"/>
        <v xml:space="preserve"> </v>
      </c>
      <c r="AX17" s="162">
        <f t="shared" si="5"/>
        <v>0.3</v>
      </c>
      <c r="AY17" s="162">
        <f t="shared" si="6"/>
        <v>0.4</v>
      </c>
      <c r="AZ17" s="162">
        <f t="shared" si="7"/>
        <v>0.15</v>
      </c>
      <c r="BA17" s="162">
        <f t="shared" si="8"/>
        <v>0.15</v>
      </c>
      <c r="BB17" s="162" t="str">
        <f t="shared" si="9"/>
        <v xml:space="preserve"> </v>
      </c>
      <c r="BC17" s="159" t="str">
        <f t="shared" si="10"/>
        <v>LO1</v>
      </c>
      <c r="BD17" s="159" t="str">
        <f t="shared" si="11"/>
        <v>Q1</v>
      </c>
      <c r="BE17" s="159">
        <f t="shared" si="12"/>
        <v>0</v>
      </c>
      <c r="BF17" s="159">
        <f t="shared" si="13"/>
        <v>0</v>
      </c>
      <c r="BG17" s="159">
        <f t="shared" si="14"/>
        <v>0</v>
      </c>
      <c r="BH17" s="159">
        <f t="shared" si="15"/>
        <v>0</v>
      </c>
      <c r="BI17" s="159">
        <f t="shared" si="16"/>
        <v>25</v>
      </c>
      <c r="BJ17" s="159">
        <f t="shared" si="17"/>
        <v>20</v>
      </c>
      <c r="BK17" s="159">
        <f t="shared" si="18"/>
        <v>0</v>
      </c>
      <c r="BL17" s="159">
        <f t="shared" si="19"/>
        <v>0</v>
      </c>
      <c r="BM17" s="159">
        <f t="shared" si="20"/>
        <v>0</v>
      </c>
      <c r="BN17" s="159">
        <f t="shared" si="21"/>
        <v>0</v>
      </c>
      <c r="BO17" s="169" t="str">
        <f t="shared" si="22"/>
        <v>P1</v>
      </c>
      <c r="BP17" s="169" t="str">
        <f t="shared" si="23"/>
        <v>P2</v>
      </c>
      <c r="BQ17" s="169" t="str">
        <f t="shared" si="24"/>
        <v>CV</v>
      </c>
      <c r="BR17" s="169" t="str">
        <f t="shared" si="25"/>
        <v>CP</v>
      </c>
      <c r="BS17" s="169">
        <f t="shared" si="26"/>
        <v>0</v>
      </c>
      <c r="BT17" s="169">
        <f t="shared" si="27"/>
        <v>0</v>
      </c>
      <c r="BU17" s="169">
        <f t="shared" si="28"/>
        <v>25</v>
      </c>
      <c r="BV17" s="169">
        <f t="shared" si="29"/>
        <v>25</v>
      </c>
      <c r="BW17" s="169">
        <f t="shared" si="30"/>
        <v>0</v>
      </c>
      <c r="BX17" s="169">
        <f t="shared" si="31"/>
        <v>0</v>
      </c>
      <c r="BY17" s="169">
        <f t="shared" si="32"/>
        <v>0</v>
      </c>
      <c r="BZ17" s="169">
        <f t="shared" si="33"/>
        <v>0</v>
      </c>
      <c r="CA17" s="159" t="str">
        <f t="shared" si="34"/>
        <v>Midterm Exam</v>
      </c>
      <c r="CB17" s="159">
        <f t="shared" si="35"/>
        <v>40</v>
      </c>
      <c r="CC17" s="159">
        <f t="shared" si="36"/>
        <v>0</v>
      </c>
      <c r="CD17" s="159" t="str">
        <f t="shared" si="37"/>
        <v xml:space="preserve"> </v>
      </c>
      <c r="CE17" s="179" t="str">
        <f t="shared" si="38"/>
        <v>LO2</v>
      </c>
      <c r="CF17" s="180">
        <f t="shared" si="39"/>
        <v>0</v>
      </c>
      <c r="CG17" s="180">
        <f t="shared" si="40"/>
        <v>0</v>
      </c>
      <c r="CH17" s="180">
        <f t="shared" si="41"/>
        <v>0</v>
      </c>
      <c r="CI17" s="180">
        <f t="shared" si="42"/>
        <v>0</v>
      </c>
      <c r="CJ17" s="180">
        <f t="shared" si="43"/>
        <v>0</v>
      </c>
      <c r="CK17" s="180">
        <f t="shared" si="44"/>
        <v>25</v>
      </c>
      <c r="CL17" s="180">
        <f t="shared" si="45"/>
        <v>0</v>
      </c>
      <c r="CM17" s="180">
        <f t="shared" si="46"/>
        <v>0</v>
      </c>
      <c r="CN17" s="180">
        <f t="shared" si="47"/>
        <v>0</v>
      </c>
      <c r="CO17" s="154">
        <f t="shared" si="48"/>
        <v>0</v>
      </c>
      <c r="CP17" s="154">
        <f t="shared" si="49"/>
        <v>0</v>
      </c>
      <c r="CQ17" s="180" t="str">
        <f t="shared" si="50"/>
        <v>P3</v>
      </c>
      <c r="CR17" s="180">
        <f t="shared" si="51"/>
        <v>0</v>
      </c>
      <c r="CS17" s="180" t="str">
        <f t="shared" si="52"/>
        <v>LS</v>
      </c>
      <c r="CT17" s="180" t="str">
        <f t="shared" si="53"/>
        <v>B</v>
      </c>
      <c r="CU17" s="180">
        <f t="shared" si="54"/>
        <v>0</v>
      </c>
      <c r="CV17" s="180">
        <f t="shared" si="55"/>
        <v>0</v>
      </c>
      <c r="CW17" s="180">
        <f t="shared" si="56"/>
        <v>25</v>
      </c>
      <c r="CX17" s="154">
        <f t="shared" si="57"/>
        <v>0</v>
      </c>
      <c r="CY17" s="154">
        <f t="shared" si="58"/>
        <v>0</v>
      </c>
      <c r="CZ17" s="154">
        <f t="shared" si="59"/>
        <v>0</v>
      </c>
      <c r="DA17" s="154">
        <f t="shared" si="60"/>
        <v>0</v>
      </c>
      <c r="DB17" s="186">
        <f t="shared" si="61"/>
        <v>0</v>
      </c>
      <c r="DC17" s="169">
        <f t="shared" si="62"/>
        <v>25</v>
      </c>
      <c r="DD17" s="169" t="str">
        <f t="shared" si="63"/>
        <v>Final Exam</v>
      </c>
      <c r="DE17" s="159" t="str">
        <f t="shared" si="64"/>
        <v xml:space="preserve"> </v>
      </c>
      <c r="DF17" s="159">
        <f t="shared" si="65"/>
        <v>0</v>
      </c>
    </row>
    <row r="18" spans="2:110" s="113" customFormat="1" ht="26.25" customHeight="1" x14ac:dyDescent="0.2">
      <c r="B18" s="222" t="s">
        <v>148</v>
      </c>
      <c r="C18" s="223"/>
      <c r="D18" s="56">
        <v>0.4</v>
      </c>
      <c r="E18" s="57">
        <v>0.4</v>
      </c>
      <c r="G18" s="60">
        <v>12</v>
      </c>
      <c r="H18" s="66"/>
      <c r="I18" s="63"/>
      <c r="J18" s="97"/>
      <c r="K18" s="102"/>
      <c r="L18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8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8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8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8" s="40"/>
      <c r="Q18" s="41"/>
      <c r="R18" s="41"/>
      <c r="S18" s="41"/>
      <c r="T18" s="41"/>
      <c r="U18" s="42"/>
      <c r="V18" s="43"/>
      <c r="W18" s="41"/>
      <c r="X18" s="41"/>
      <c r="Y18" s="41"/>
      <c r="Z18" s="41"/>
      <c r="AA18" s="42"/>
      <c r="AB18" s="44"/>
      <c r="AC18" s="73"/>
      <c r="AD18" s="43"/>
      <c r="AE18" s="43"/>
      <c r="AF18" s="43"/>
      <c r="AG18" s="41"/>
      <c r="AH18" s="41"/>
      <c r="AI18" s="42"/>
      <c r="AJ18" s="43"/>
      <c r="AK18" s="43"/>
      <c r="AL18" s="43"/>
      <c r="AM18" s="41"/>
      <c r="AN18" s="41"/>
      <c r="AO18" s="41"/>
      <c r="AP18" s="44"/>
      <c r="AQ18" s="73"/>
      <c r="AR18" s="150"/>
      <c r="AS18" s="157">
        <f t="shared" si="0"/>
        <v>0</v>
      </c>
      <c r="AT18" s="161">
        <f t="shared" si="1"/>
        <v>0.3</v>
      </c>
      <c r="AU18" s="161">
        <f t="shared" si="2"/>
        <v>0.4</v>
      </c>
      <c r="AV18" s="161">
        <f t="shared" si="3"/>
        <v>0.3</v>
      </c>
      <c r="AW18" s="161" t="str">
        <f t="shared" si="4"/>
        <v xml:space="preserve"> </v>
      </c>
      <c r="AX18" s="161">
        <f t="shared" si="5"/>
        <v>0.3</v>
      </c>
      <c r="AY18" s="161">
        <f t="shared" si="6"/>
        <v>0.4</v>
      </c>
      <c r="AZ18" s="161">
        <f t="shared" si="7"/>
        <v>0.15</v>
      </c>
      <c r="BA18" s="161">
        <f t="shared" si="8"/>
        <v>0.15</v>
      </c>
      <c r="BB18" s="161" t="str">
        <f t="shared" si="9"/>
        <v xml:space="preserve"> </v>
      </c>
      <c r="BC18" s="157" t="str">
        <f t="shared" si="10"/>
        <v>LO1</v>
      </c>
      <c r="BD18" s="157" t="str">
        <f t="shared" si="11"/>
        <v>Q1</v>
      </c>
      <c r="BE18" s="157">
        <f t="shared" si="12"/>
        <v>0</v>
      </c>
      <c r="BF18" s="157">
        <f t="shared" si="13"/>
        <v>0</v>
      </c>
      <c r="BG18" s="157">
        <f t="shared" si="14"/>
        <v>0</v>
      </c>
      <c r="BH18" s="157">
        <f t="shared" si="15"/>
        <v>0</v>
      </c>
      <c r="BI18" s="157">
        <f t="shared" si="16"/>
        <v>25</v>
      </c>
      <c r="BJ18" s="157">
        <f t="shared" si="17"/>
        <v>20</v>
      </c>
      <c r="BK18" s="157">
        <f t="shared" si="18"/>
        <v>0</v>
      </c>
      <c r="BL18" s="157">
        <f t="shared" si="19"/>
        <v>0</v>
      </c>
      <c r="BM18" s="157">
        <f t="shared" si="20"/>
        <v>0</v>
      </c>
      <c r="BN18" s="157">
        <f t="shared" si="21"/>
        <v>0</v>
      </c>
      <c r="BO18" s="167" t="str">
        <f t="shared" si="22"/>
        <v>P1</v>
      </c>
      <c r="BP18" s="167" t="str">
        <f t="shared" si="23"/>
        <v>P2</v>
      </c>
      <c r="BQ18" s="167" t="str">
        <f t="shared" si="24"/>
        <v>CV</v>
      </c>
      <c r="BR18" s="167" t="str">
        <f t="shared" si="25"/>
        <v>CP</v>
      </c>
      <c r="BS18" s="167">
        <f t="shared" si="26"/>
        <v>0</v>
      </c>
      <c r="BT18" s="167">
        <f t="shared" si="27"/>
        <v>0</v>
      </c>
      <c r="BU18" s="167">
        <f t="shared" si="28"/>
        <v>25</v>
      </c>
      <c r="BV18" s="167">
        <f t="shared" si="29"/>
        <v>25</v>
      </c>
      <c r="BW18" s="167">
        <f t="shared" si="30"/>
        <v>0</v>
      </c>
      <c r="BX18" s="167">
        <f t="shared" si="31"/>
        <v>0</v>
      </c>
      <c r="BY18" s="167">
        <f t="shared" si="32"/>
        <v>0</v>
      </c>
      <c r="BZ18" s="167">
        <f t="shared" si="33"/>
        <v>0</v>
      </c>
      <c r="CA18" s="157" t="str">
        <f t="shared" si="34"/>
        <v>Midterm Exam</v>
      </c>
      <c r="CB18" s="157">
        <f t="shared" si="35"/>
        <v>40</v>
      </c>
      <c r="CC18" s="157">
        <f t="shared" si="36"/>
        <v>0</v>
      </c>
      <c r="CD18" s="157" t="str">
        <f t="shared" si="37"/>
        <v xml:space="preserve"> </v>
      </c>
      <c r="CE18" s="174" t="str">
        <f t="shared" si="38"/>
        <v>LO2</v>
      </c>
      <c r="CF18" s="175">
        <f t="shared" si="39"/>
        <v>0</v>
      </c>
      <c r="CG18" s="175">
        <f t="shared" si="40"/>
        <v>0</v>
      </c>
      <c r="CH18" s="175">
        <f t="shared" si="41"/>
        <v>0</v>
      </c>
      <c r="CI18" s="175">
        <f t="shared" si="42"/>
        <v>0</v>
      </c>
      <c r="CJ18" s="175">
        <f t="shared" si="43"/>
        <v>0</v>
      </c>
      <c r="CK18" s="175">
        <f t="shared" si="44"/>
        <v>25</v>
      </c>
      <c r="CL18" s="175">
        <f t="shared" si="45"/>
        <v>0</v>
      </c>
      <c r="CM18" s="175">
        <f t="shared" si="46"/>
        <v>0</v>
      </c>
      <c r="CN18" s="175">
        <f t="shared" si="47"/>
        <v>0</v>
      </c>
      <c r="CO18" s="153">
        <f t="shared" si="48"/>
        <v>0</v>
      </c>
      <c r="CP18" s="153">
        <f t="shared" si="49"/>
        <v>0</v>
      </c>
      <c r="CQ18" s="175" t="str">
        <f t="shared" si="50"/>
        <v>P3</v>
      </c>
      <c r="CR18" s="175">
        <f t="shared" si="51"/>
        <v>0</v>
      </c>
      <c r="CS18" s="175" t="str">
        <f t="shared" si="52"/>
        <v>LS</v>
      </c>
      <c r="CT18" s="175" t="str">
        <f t="shared" si="53"/>
        <v>B</v>
      </c>
      <c r="CU18" s="175">
        <f t="shared" si="54"/>
        <v>0</v>
      </c>
      <c r="CV18" s="175">
        <f t="shared" si="55"/>
        <v>0</v>
      </c>
      <c r="CW18" s="175">
        <f t="shared" si="56"/>
        <v>25</v>
      </c>
      <c r="CX18" s="153">
        <f t="shared" si="57"/>
        <v>0</v>
      </c>
      <c r="CY18" s="153">
        <f t="shared" si="58"/>
        <v>0</v>
      </c>
      <c r="CZ18" s="153">
        <f t="shared" si="59"/>
        <v>0</v>
      </c>
      <c r="DA18" s="153">
        <f t="shared" si="60"/>
        <v>0</v>
      </c>
      <c r="DB18" s="184">
        <f t="shared" si="61"/>
        <v>0</v>
      </c>
      <c r="DC18" s="167">
        <f t="shared" si="62"/>
        <v>25</v>
      </c>
      <c r="DD18" s="167" t="str">
        <f t="shared" si="63"/>
        <v>Final Exam</v>
      </c>
      <c r="DE18" s="157" t="str">
        <f t="shared" si="64"/>
        <v xml:space="preserve"> </v>
      </c>
      <c r="DF18" s="157">
        <f t="shared" si="65"/>
        <v>0</v>
      </c>
    </row>
    <row r="19" spans="2:110" s="113" customFormat="1" ht="26.25" customHeight="1" x14ac:dyDescent="0.2">
      <c r="B19" s="214" t="s">
        <v>149</v>
      </c>
      <c r="C19" s="215"/>
      <c r="D19" s="190">
        <v>0.3</v>
      </c>
      <c r="E19" s="57">
        <v>0.15</v>
      </c>
      <c r="G19" s="60">
        <v>13</v>
      </c>
      <c r="H19" s="66"/>
      <c r="I19" s="63"/>
      <c r="J19" s="97"/>
      <c r="K19" s="102"/>
      <c r="L19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19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19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19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19" s="40"/>
      <c r="Q19" s="41"/>
      <c r="R19" s="41"/>
      <c r="S19" s="41"/>
      <c r="T19" s="41"/>
      <c r="U19" s="42"/>
      <c r="V19" s="43"/>
      <c r="W19" s="41"/>
      <c r="X19" s="41"/>
      <c r="Y19" s="41"/>
      <c r="Z19" s="41"/>
      <c r="AA19" s="42"/>
      <c r="AB19" s="44"/>
      <c r="AC19" s="73"/>
      <c r="AD19" s="43"/>
      <c r="AE19" s="43"/>
      <c r="AF19" s="43"/>
      <c r="AG19" s="41"/>
      <c r="AH19" s="41"/>
      <c r="AI19" s="42"/>
      <c r="AJ19" s="43"/>
      <c r="AK19" s="43"/>
      <c r="AL19" s="43"/>
      <c r="AM19" s="41"/>
      <c r="AN19" s="41"/>
      <c r="AO19" s="41"/>
      <c r="AP19" s="44"/>
      <c r="AQ19" s="73"/>
      <c r="AR19" s="150"/>
      <c r="AS19" s="157">
        <f t="shared" si="0"/>
        <v>0</v>
      </c>
      <c r="AT19" s="161">
        <f t="shared" si="1"/>
        <v>0.3</v>
      </c>
      <c r="AU19" s="161">
        <f t="shared" si="2"/>
        <v>0.4</v>
      </c>
      <c r="AV19" s="161">
        <f t="shared" si="3"/>
        <v>0.3</v>
      </c>
      <c r="AW19" s="161" t="str">
        <f t="shared" si="4"/>
        <v xml:space="preserve"> </v>
      </c>
      <c r="AX19" s="161">
        <f t="shared" si="5"/>
        <v>0.3</v>
      </c>
      <c r="AY19" s="161">
        <f t="shared" si="6"/>
        <v>0.4</v>
      </c>
      <c r="AZ19" s="161">
        <f t="shared" si="7"/>
        <v>0.15</v>
      </c>
      <c r="BA19" s="161">
        <f t="shared" si="8"/>
        <v>0.15</v>
      </c>
      <c r="BB19" s="161" t="str">
        <f t="shared" si="9"/>
        <v xml:space="preserve"> </v>
      </c>
      <c r="BC19" s="157" t="str">
        <f t="shared" si="10"/>
        <v>LO1</v>
      </c>
      <c r="BD19" s="157" t="str">
        <f t="shared" si="11"/>
        <v>Q1</v>
      </c>
      <c r="BE19" s="157">
        <f t="shared" si="12"/>
        <v>0</v>
      </c>
      <c r="BF19" s="157">
        <f t="shared" si="13"/>
        <v>0</v>
      </c>
      <c r="BG19" s="157">
        <f t="shared" si="14"/>
        <v>0</v>
      </c>
      <c r="BH19" s="157">
        <f t="shared" si="15"/>
        <v>0</v>
      </c>
      <c r="BI19" s="157">
        <f t="shared" si="16"/>
        <v>25</v>
      </c>
      <c r="BJ19" s="157">
        <f t="shared" si="17"/>
        <v>20</v>
      </c>
      <c r="BK19" s="157">
        <f t="shared" si="18"/>
        <v>0</v>
      </c>
      <c r="BL19" s="157">
        <f t="shared" si="19"/>
        <v>0</v>
      </c>
      <c r="BM19" s="157">
        <f t="shared" si="20"/>
        <v>0</v>
      </c>
      <c r="BN19" s="157">
        <f t="shared" si="21"/>
        <v>0</v>
      </c>
      <c r="BO19" s="167" t="str">
        <f t="shared" si="22"/>
        <v>P1</v>
      </c>
      <c r="BP19" s="167" t="str">
        <f t="shared" si="23"/>
        <v>P2</v>
      </c>
      <c r="BQ19" s="167" t="str">
        <f t="shared" si="24"/>
        <v>CV</v>
      </c>
      <c r="BR19" s="167" t="str">
        <f t="shared" si="25"/>
        <v>CP</v>
      </c>
      <c r="BS19" s="167">
        <f t="shared" si="26"/>
        <v>0</v>
      </c>
      <c r="BT19" s="167">
        <f t="shared" si="27"/>
        <v>0</v>
      </c>
      <c r="BU19" s="167">
        <f t="shared" si="28"/>
        <v>25</v>
      </c>
      <c r="BV19" s="167">
        <f t="shared" si="29"/>
        <v>25</v>
      </c>
      <c r="BW19" s="167">
        <f t="shared" si="30"/>
        <v>0</v>
      </c>
      <c r="BX19" s="167">
        <f t="shared" si="31"/>
        <v>0</v>
      </c>
      <c r="BY19" s="167">
        <f t="shared" si="32"/>
        <v>0</v>
      </c>
      <c r="BZ19" s="167">
        <f t="shared" si="33"/>
        <v>0</v>
      </c>
      <c r="CA19" s="157" t="str">
        <f t="shared" si="34"/>
        <v>Midterm Exam</v>
      </c>
      <c r="CB19" s="157">
        <f t="shared" si="35"/>
        <v>40</v>
      </c>
      <c r="CC19" s="157">
        <f t="shared" si="36"/>
        <v>0</v>
      </c>
      <c r="CD19" s="157" t="str">
        <f t="shared" si="37"/>
        <v xml:space="preserve"> </v>
      </c>
      <c r="CE19" s="174" t="str">
        <f t="shared" si="38"/>
        <v>LO2</v>
      </c>
      <c r="CF19" s="175">
        <f t="shared" si="39"/>
        <v>0</v>
      </c>
      <c r="CG19" s="175">
        <f t="shared" si="40"/>
        <v>0</v>
      </c>
      <c r="CH19" s="175">
        <f t="shared" si="41"/>
        <v>0</v>
      </c>
      <c r="CI19" s="175">
        <f t="shared" si="42"/>
        <v>0</v>
      </c>
      <c r="CJ19" s="175">
        <f t="shared" si="43"/>
        <v>0</v>
      </c>
      <c r="CK19" s="175">
        <f t="shared" si="44"/>
        <v>25</v>
      </c>
      <c r="CL19" s="175">
        <f t="shared" si="45"/>
        <v>0</v>
      </c>
      <c r="CM19" s="175">
        <f t="shared" si="46"/>
        <v>0</v>
      </c>
      <c r="CN19" s="175">
        <f t="shared" si="47"/>
        <v>0</v>
      </c>
      <c r="CO19" s="153">
        <f t="shared" si="48"/>
        <v>0</v>
      </c>
      <c r="CP19" s="153">
        <f t="shared" si="49"/>
        <v>0</v>
      </c>
      <c r="CQ19" s="175" t="str">
        <f t="shared" si="50"/>
        <v>P3</v>
      </c>
      <c r="CR19" s="175">
        <f t="shared" si="51"/>
        <v>0</v>
      </c>
      <c r="CS19" s="175" t="str">
        <f t="shared" si="52"/>
        <v>LS</v>
      </c>
      <c r="CT19" s="175" t="str">
        <f t="shared" si="53"/>
        <v>B</v>
      </c>
      <c r="CU19" s="175">
        <f t="shared" si="54"/>
        <v>0</v>
      </c>
      <c r="CV19" s="175">
        <f t="shared" si="55"/>
        <v>0</v>
      </c>
      <c r="CW19" s="175">
        <f t="shared" si="56"/>
        <v>25</v>
      </c>
      <c r="CX19" s="153">
        <f t="shared" si="57"/>
        <v>0</v>
      </c>
      <c r="CY19" s="153">
        <f t="shared" si="58"/>
        <v>0</v>
      </c>
      <c r="CZ19" s="153">
        <f t="shared" si="59"/>
        <v>0</v>
      </c>
      <c r="DA19" s="153">
        <f t="shared" si="60"/>
        <v>0</v>
      </c>
      <c r="DB19" s="184">
        <f t="shared" si="61"/>
        <v>0</v>
      </c>
      <c r="DC19" s="167">
        <f t="shared" si="62"/>
        <v>25</v>
      </c>
      <c r="DD19" s="167" t="str">
        <f t="shared" si="63"/>
        <v>Final Exam</v>
      </c>
      <c r="DE19" s="157" t="str">
        <f t="shared" si="64"/>
        <v xml:space="preserve"> </v>
      </c>
      <c r="DF19" s="157">
        <f t="shared" si="65"/>
        <v>0</v>
      </c>
    </row>
    <row r="20" spans="2:110" s="113" customFormat="1" ht="26.25" customHeight="1" x14ac:dyDescent="0.2">
      <c r="B20" s="214" t="s">
        <v>150</v>
      </c>
      <c r="C20" s="215"/>
      <c r="D20" s="56"/>
      <c r="E20" s="57">
        <v>0.15</v>
      </c>
      <c r="G20" s="60">
        <v>14</v>
      </c>
      <c r="H20" s="66"/>
      <c r="I20" s="63"/>
      <c r="J20" s="97"/>
      <c r="K20" s="102"/>
      <c r="L20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0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0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0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0" s="40"/>
      <c r="Q20" s="41"/>
      <c r="R20" s="41"/>
      <c r="S20" s="41"/>
      <c r="T20" s="41"/>
      <c r="U20" s="42"/>
      <c r="V20" s="43"/>
      <c r="W20" s="41"/>
      <c r="X20" s="41"/>
      <c r="Y20" s="41"/>
      <c r="Z20" s="41"/>
      <c r="AA20" s="42"/>
      <c r="AB20" s="44"/>
      <c r="AC20" s="73"/>
      <c r="AD20" s="43"/>
      <c r="AE20" s="43"/>
      <c r="AF20" s="43"/>
      <c r="AG20" s="41"/>
      <c r="AH20" s="41"/>
      <c r="AI20" s="42"/>
      <c r="AJ20" s="43"/>
      <c r="AK20" s="43"/>
      <c r="AL20" s="43"/>
      <c r="AM20" s="41"/>
      <c r="AN20" s="41"/>
      <c r="AO20" s="41"/>
      <c r="AP20" s="44"/>
      <c r="AQ20" s="73"/>
      <c r="AR20" s="150"/>
      <c r="AS20" s="157">
        <f t="shared" si="0"/>
        <v>0</v>
      </c>
      <c r="AT20" s="161">
        <f t="shared" si="1"/>
        <v>0.3</v>
      </c>
      <c r="AU20" s="161">
        <f t="shared" si="2"/>
        <v>0.4</v>
      </c>
      <c r="AV20" s="161">
        <f t="shared" si="3"/>
        <v>0.3</v>
      </c>
      <c r="AW20" s="161" t="str">
        <f t="shared" si="4"/>
        <v xml:space="preserve"> </v>
      </c>
      <c r="AX20" s="161">
        <f t="shared" si="5"/>
        <v>0.3</v>
      </c>
      <c r="AY20" s="161">
        <f t="shared" si="6"/>
        <v>0.4</v>
      </c>
      <c r="AZ20" s="161">
        <f t="shared" si="7"/>
        <v>0.15</v>
      </c>
      <c r="BA20" s="161">
        <f t="shared" si="8"/>
        <v>0.15</v>
      </c>
      <c r="BB20" s="161" t="str">
        <f t="shared" si="9"/>
        <v xml:space="preserve"> </v>
      </c>
      <c r="BC20" s="157" t="str">
        <f t="shared" si="10"/>
        <v>LO1</v>
      </c>
      <c r="BD20" s="157" t="str">
        <f t="shared" si="11"/>
        <v>Q1</v>
      </c>
      <c r="BE20" s="157">
        <f t="shared" si="12"/>
        <v>0</v>
      </c>
      <c r="BF20" s="157">
        <f t="shared" si="13"/>
        <v>0</v>
      </c>
      <c r="BG20" s="157">
        <f t="shared" si="14"/>
        <v>0</v>
      </c>
      <c r="BH20" s="157">
        <f t="shared" si="15"/>
        <v>0</v>
      </c>
      <c r="BI20" s="157">
        <f t="shared" si="16"/>
        <v>25</v>
      </c>
      <c r="BJ20" s="157">
        <f t="shared" si="17"/>
        <v>20</v>
      </c>
      <c r="BK20" s="157">
        <f t="shared" si="18"/>
        <v>0</v>
      </c>
      <c r="BL20" s="157">
        <f t="shared" si="19"/>
        <v>0</v>
      </c>
      <c r="BM20" s="157">
        <f t="shared" si="20"/>
        <v>0</v>
      </c>
      <c r="BN20" s="157">
        <f t="shared" si="21"/>
        <v>0</v>
      </c>
      <c r="BO20" s="167" t="str">
        <f t="shared" si="22"/>
        <v>P1</v>
      </c>
      <c r="BP20" s="167" t="str">
        <f t="shared" si="23"/>
        <v>P2</v>
      </c>
      <c r="BQ20" s="167" t="str">
        <f t="shared" si="24"/>
        <v>CV</v>
      </c>
      <c r="BR20" s="167" t="str">
        <f t="shared" si="25"/>
        <v>CP</v>
      </c>
      <c r="BS20" s="167">
        <f t="shared" si="26"/>
        <v>0</v>
      </c>
      <c r="BT20" s="167">
        <f t="shared" si="27"/>
        <v>0</v>
      </c>
      <c r="BU20" s="167">
        <f t="shared" si="28"/>
        <v>25</v>
      </c>
      <c r="BV20" s="167">
        <f t="shared" si="29"/>
        <v>25</v>
      </c>
      <c r="BW20" s="167">
        <f t="shared" si="30"/>
        <v>0</v>
      </c>
      <c r="BX20" s="167">
        <f t="shared" si="31"/>
        <v>0</v>
      </c>
      <c r="BY20" s="167">
        <f t="shared" si="32"/>
        <v>0</v>
      </c>
      <c r="BZ20" s="167">
        <f t="shared" si="33"/>
        <v>0</v>
      </c>
      <c r="CA20" s="157" t="str">
        <f t="shared" si="34"/>
        <v>Midterm Exam</v>
      </c>
      <c r="CB20" s="157">
        <f t="shared" si="35"/>
        <v>40</v>
      </c>
      <c r="CC20" s="157">
        <f t="shared" si="36"/>
        <v>0</v>
      </c>
      <c r="CD20" s="157" t="str">
        <f t="shared" si="37"/>
        <v xml:space="preserve"> </v>
      </c>
      <c r="CE20" s="174" t="str">
        <f t="shared" si="38"/>
        <v>LO2</v>
      </c>
      <c r="CF20" s="175">
        <f t="shared" si="39"/>
        <v>0</v>
      </c>
      <c r="CG20" s="175">
        <f t="shared" si="40"/>
        <v>0</v>
      </c>
      <c r="CH20" s="175">
        <f t="shared" si="41"/>
        <v>0</v>
      </c>
      <c r="CI20" s="175">
        <f t="shared" si="42"/>
        <v>0</v>
      </c>
      <c r="CJ20" s="175">
        <f t="shared" si="43"/>
        <v>0</v>
      </c>
      <c r="CK20" s="175">
        <f t="shared" si="44"/>
        <v>25</v>
      </c>
      <c r="CL20" s="175">
        <f t="shared" si="45"/>
        <v>0</v>
      </c>
      <c r="CM20" s="175">
        <f t="shared" si="46"/>
        <v>0</v>
      </c>
      <c r="CN20" s="175">
        <f t="shared" si="47"/>
        <v>0</v>
      </c>
      <c r="CO20" s="153">
        <f t="shared" si="48"/>
        <v>0</v>
      </c>
      <c r="CP20" s="153">
        <f t="shared" si="49"/>
        <v>0</v>
      </c>
      <c r="CQ20" s="175" t="str">
        <f t="shared" si="50"/>
        <v>P3</v>
      </c>
      <c r="CR20" s="175">
        <f t="shared" si="51"/>
        <v>0</v>
      </c>
      <c r="CS20" s="175" t="str">
        <f t="shared" si="52"/>
        <v>LS</v>
      </c>
      <c r="CT20" s="175" t="str">
        <f t="shared" si="53"/>
        <v>B</v>
      </c>
      <c r="CU20" s="175">
        <f t="shared" si="54"/>
        <v>0</v>
      </c>
      <c r="CV20" s="175">
        <f t="shared" si="55"/>
        <v>0</v>
      </c>
      <c r="CW20" s="175">
        <f t="shared" si="56"/>
        <v>25</v>
      </c>
      <c r="CX20" s="153">
        <f t="shared" si="57"/>
        <v>0</v>
      </c>
      <c r="CY20" s="153">
        <f t="shared" si="58"/>
        <v>0</v>
      </c>
      <c r="CZ20" s="153">
        <f t="shared" si="59"/>
        <v>0</v>
      </c>
      <c r="DA20" s="153">
        <f t="shared" si="60"/>
        <v>0</v>
      </c>
      <c r="DB20" s="184">
        <f t="shared" si="61"/>
        <v>0</v>
      </c>
      <c r="DC20" s="167">
        <f t="shared" si="62"/>
        <v>25</v>
      </c>
      <c r="DD20" s="167" t="str">
        <f t="shared" si="63"/>
        <v>Final Exam</v>
      </c>
      <c r="DE20" s="157" t="str">
        <f t="shared" si="64"/>
        <v xml:space="preserve"> </v>
      </c>
      <c r="DF20" s="157">
        <f t="shared" si="65"/>
        <v>0</v>
      </c>
    </row>
    <row r="21" spans="2:110" s="113" customFormat="1" ht="26.25" customHeight="1" thickBot="1" x14ac:dyDescent="0.25">
      <c r="B21" s="214" t="str">
        <f>IF(B12="Advanced Comm.", "Lexile Component", " ")</f>
        <v xml:space="preserve"> </v>
      </c>
      <c r="C21" s="215"/>
      <c r="D21" s="56" t="str">
        <f>IF($B$12="Advanced Comm.",10%," ")</f>
        <v xml:space="preserve"> </v>
      </c>
      <c r="E21" s="57" t="str">
        <f>IF($B$12="Advanced Comm.",10%," ")</f>
        <v xml:space="preserve"> </v>
      </c>
      <c r="G21" s="92">
        <v>15</v>
      </c>
      <c r="H21" s="83"/>
      <c r="I21" s="84"/>
      <c r="J21" s="98"/>
      <c r="K21" s="103"/>
      <c r="L21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1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1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1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1" s="85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7"/>
      <c r="AB21" s="89"/>
      <c r="AC21" s="90"/>
      <c r="AD21" s="88"/>
      <c r="AE21" s="88"/>
      <c r="AF21" s="88"/>
      <c r="AG21" s="86"/>
      <c r="AH21" s="86"/>
      <c r="AI21" s="87"/>
      <c r="AJ21" s="88"/>
      <c r="AK21" s="88"/>
      <c r="AL21" s="88"/>
      <c r="AM21" s="86"/>
      <c r="AN21" s="86"/>
      <c r="AO21" s="86"/>
      <c r="AP21" s="89"/>
      <c r="AQ21" s="90"/>
      <c r="AR21" s="151"/>
      <c r="AS21" s="158">
        <f t="shared" si="0"/>
        <v>0</v>
      </c>
      <c r="AT21" s="165">
        <f t="shared" si="1"/>
        <v>0.3</v>
      </c>
      <c r="AU21" s="165">
        <f t="shared" si="2"/>
        <v>0.4</v>
      </c>
      <c r="AV21" s="165">
        <f t="shared" si="3"/>
        <v>0.3</v>
      </c>
      <c r="AW21" s="165" t="str">
        <f t="shared" si="4"/>
        <v xml:space="preserve"> </v>
      </c>
      <c r="AX21" s="165">
        <f t="shared" si="5"/>
        <v>0.3</v>
      </c>
      <c r="AY21" s="165">
        <f t="shared" si="6"/>
        <v>0.4</v>
      </c>
      <c r="AZ21" s="165">
        <f t="shared" si="7"/>
        <v>0.15</v>
      </c>
      <c r="BA21" s="165">
        <f t="shared" si="8"/>
        <v>0.15</v>
      </c>
      <c r="BB21" s="165" t="str">
        <f t="shared" si="9"/>
        <v xml:space="preserve"> </v>
      </c>
      <c r="BC21" s="158" t="str">
        <f t="shared" si="10"/>
        <v>LO1</v>
      </c>
      <c r="BD21" s="158" t="str">
        <f t="shared" si="11"/>
        <v>Q1</v>
      </c>
      <c r="BE21" s="158">
        <f t="shared" si="12"/>
        <v>0</v>
      </c>
      <c r="BF21" s="158">
        <f t="shared" si="13"/>
        <v>0</v>
      </c>
      <c r="BG21" s="158">
        <f t="shared" si="14"/>
        <v>0</v>
      </c>
      <c r="BH21" s="158">
        <f t="shared" si="15"/>
        <v>0</v>
      </c>
      <c r="BI21" s="158">
        <f t="shared" si="16"/>
        <v>25</v>
      </c>
      <c r="BJ21" s="158">
        <f t="shared" si="17"/>
        <v>20</v>
      </c>
      <c r="BK21" s="158">
        <f t="shared" si="18"/>
        <v>0</v>
      </c>
      <c r="BL21" s="158">
        <f t="shared" si="19"/>
        <v>0</v>
      </c>
      <c r="BM21" s="158">
        <f t="shared" si="20"/>
        <v>0</v>
      </c>
      <c r="BN21" s="158">
        <f t="shared" si="21"/>
        <v>0</v>
      </c>
      <c r="BO21" s="168" t="str">
        <f t="shared" si="22"/>
        <v>P1</v>
      </c>
      <c r="BP21" s="168" t="str">
        <f t="shared" si="23"/>
        <v>P2</v>
      </c>
      <c r="BQ21" s="168" t="str">
        <f t="shared" si="24"/>
        <v>CV</v>
      </c>
      <c r="BR21" s="168" t="str">
        <f t="shared" si="25"/>
        <v>CP</v>
      </c>
      <c r="BS21" s="168">
        <f t="shared" si="26"/>
        <v>0</v>
      </c>
      <c r="BT21" s="168">
        <f t="shared" si="27"/>
        <v>0</v>
      </c>
      <c r="BU21" s="168">
        <f t="shared" si="28"/>
        <v>25</v>
      </c>
      <c r="BV21" s="168">
        <f t="shared" si="29"/>
        <v>25</v>
      </c>
      <c r="BW21" s="168">
        <f t="shared" si="30"/>
        <v>0</v>
      </c>
      <c r="BX21" s="168">
        <f t="shared" si="31"/>
        <v>0</v>
      </c>
      <c r="BY21" s="168">
        <f t="shared" si="32"/>
        <v>0</v>
      </c>
      <c r="BZ21" s="168">
        <f t="shared" si="33"/>
        <v>0</v>
      </c>
      <c r="CA21" s="158" t="str">
        <f t="shared" si="34"/>
        <v>Midterm Exam</v>
      </c>
      <c r="CB21" s="158">
        <f t="shared" si="35"/>
        <v>40</v>
      </c>
      <c r="CC21" s="158">
        <f t="shared" si="36"/>
        <v>0</v>
      </c>
      <c r="CD21" s="158" t="str">
        <f t="shared" si="37"/>
        <v xml:space="preserve"> </v>
      </c>
      <c r="CE21" s="176" t="str">
        <f t="shared" si="38"/>
        <v>LO2</v>
      </c>
      <c r="CF21" s="177">
        <f t="shared" si="39"/>
        <v>0</v>
      </c>
      <c r="CG21" s="177">
        <f t="shared" si="40"/>
        <v>0</v>
      </c>
      <c r="CH21" s="177">
        <f t="shared" si="41"/>
        <v>0</v>
      </c>
      <c r="CI21" s="177">
        <f t="shared" si="42"/>
        <v>0</v>
      </c>
      <c r="CJ21" s="177">
        <f t="shared" si="43"/>
        <v>0</v>
      </c>
      <c r="CK21" s="177">
        <f t="shared" si="44"/>
        <v>25</v>
      </c>
      <c r="CL21" s="177">
        <f t="shared" si="45"/>
        <v>0</v>
      </c>
      <c r="CM21" s="177">
        <f t="shared" si="46"/>
        <v>0</v>
      </c>
      <c r="CN21" s="177">
        <f t="shared" si="47"/>
        <v>0</v>
      </c>
      <c r="CO21" s="178">
        <f t="shared" si="48"/>
        <v>0</v>
      </c>
      <c r="CP21" s="178">
        <f t="shared" si="49"/>
        <v>0</v>
      </c>
      <c r="CQ21" s="177" t="str">
        <f t="shared" si="50"/>
        <v>P3</v>
      </c>
      <c r="CR21" s="177">
        <f t="shared" si="51"/>
        <v>0</v>
      </c>
      <c r="CS21" s="177" t="str">
        <f t="shared" si="52"/>
        <v>LS</v>
      </c>
      <c r="CT21" s="177" t="str">
        <f t="shared" si="53"/>
        <v>B</v>
      </c>
      <c r="CU21" s="177">
        <f t="shared" si="54"/>
        <v>0</v>
      </c>
      <c r="CV21" s="177">
        <f t="shared" si="55"/>
        <v>0</v>
      </c>
      <c r="CW21" s="177">
        <f t="shared" si="56"/>
        <v>25</v>
      </c>
      <c r="CX21" s="178">
        <f t="shared" si="57"/>
        <v>0</v>
      </c>
      <c r="CY21" s="178">
        <f t="shared" si="58"/>
        <v>0</v>
      </c>
      <c r="CZ21" s="178">
        <f t="shared" si="59"/>
        <v>0</v>
      </c>
      <c r="DA21" s="178">
        <f t="shared" si="60"/>
        <v>0</v>
      </c>
      <c r="DB21" s="185">
        <f t="shared" si="61"/>
        <v>0</v>
      </c>
      <c r="DC21" s="168">
        <f t="shared" si="62"/>
        <v>25</v>
      </c>
      <c r="DD21" s="168" t="str">
        <f t="shared" si="63"/>
        <v>Final Exam</v>
      </c>
      <c r="DE21" s="158" t="str">
        <f t="shared" si="64"/>
        <v xml:space="preserve"> </v>
      </c>
      <c r="DF21" s="158">
        <f t="shared" si="65"/>
        <v>0</v>
      </c>
    </row>
    <row r="22" spans="2:110" s="113" customFormat="1" ht="26.25" customHeight="1" thickTop="1" thickBot="1" x14ac:dyDescent="0.25">
      <c r="B22" s="277"/>
      <c r="C22" s="278"/>
      <c r="D22" s="58"/>
      <c r="E22" s="59"/>
      <c r="G22" s="131">
        <v>16</v>
      </c>
      <c r="H22" s="75"/>
      <c r="I22" s="76"/>
      <c r="J22" s="99"/>
      <c r="K22" s="104"/>
      <c r="L22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2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2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2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2" s="77"/>
      <c r="Q22" s="78"/>
      <c r="R22" s="78"/>
      <c r="S22" s="78"/>
      <c r="T22" s="78"/>
      <c r="U22" s="79"/>
      <c r="V22" s="80"/>
      <c r="W22" s="78"/>
      <c r="X22" s="78"/>
      <c r="Y22" s="78"/>
      <c r="Z22" s="78"/>
      <c r="AA22" s="79"/>
      <c r="AB22" s="81"/>
      <c r="AC22" s="82"/>
      <c r="AD22" s="80"/>
      <c r="AE22" s="80"/>
      <c r="AF22" s="80"/>
      <c r="AG22" s="78"/>
      <c r="AH22" s="78"/>
      <c r="AI22" s="79"/>
      <c r="AJ22" s="80"/>
      <c r="AK22" s="80"/>
      <c r="AL22" s="80"/>
      <c r="AM22" s="78"/>
      <c r="AN22" s="78"/>
      <c r="AO22" s="78"/>
      <c r="AP22" s="81"/>
      <c r="AQ22" s="82"/>
      <c r="AR22" s="149"/>
      <c r="AS22" s="159">
        <f t="shared" si="0"/>
        <v>0</v>
      </c>
      <c r="AT22" s="162">
        <f t="shared" si="1"/>
        <v>0.3</v>
      </c>
      <c r="AU22" s="162">
        <f t="shared" si="2"/>
        <v>0.4</v>
      </c>
      <c r="AV22" s="162">
        <f t="shared" si="3"/>
        <v>0.3</v>
      </c>
      <c r="AW22" s="162" t="str">
        <f t="shared" si="4"/>
        <v xml:space="preserve"> </v>
      </c>
      <c r="AX22" s="162">
        <f t="shared" si="5"/>
        <v>0.3</v>
      </c>
      <c r="AY22" s="162">
        <f t="shared" si="6"/>
        <v>0.4</v>
      </c>
      <c r="AZ22" s="162">
        <f t="shared" si="7"/>
        <v>0.15</v>
      </c>
      <c r="BA22" s="162">
        <f t="shared" si="8"/>
        <v>0.15</v>
      </c>
      <c r="BB22" s="162" t="str">
        <f t="shared" si="9"/>
        <v xml:space="preserve"> </v>
      </c>
      <c r="BC22" s="159" t="str">
        <f t="shared" si="10"/>
        <v>LO1</v>
      </c>
      <c r="BD22" s="159" t="str">
        <f t="shared" si="11"/>
        <v>Q1</v>
      </c>
      <c r="BE22" s="159">
        <f t="shared" si="12"/>
        <v>0</v>
      </c>
      <c r="BF22" s="159">
        <f t="shared" si="13"/>
        <v>0</v>
      </c>
      <c r="BG22" s="159">
        <f t="shared" si="14"/>
        <v>0</v>
      </c>
      <c r="BH22" s="159">
        <f t="shared" si="15"/>
        <v>0</v>
      </c>
      <c r="BI22" s="159">
        <f t="shared" si="16"/>
        <v>25</v>
      </c>
      <c r="BJ22" s="159">
        <f t="shared" si="17"/>
        <v>20</v>
      </c>
      <c r="BK22" s="159">
        <f t="shared" si="18"/>
        <v>0</v>
      </c>
      <c r="BL22" s="159">
        <f t="shared" si="19"/>
        <v>0</v>
      </c>
      <c r="BM22" s="159">
        <f t="shared" si="20"/>
        <v>0</v>
      </c>
      <c r="BN22" s="159">
        <f t="shared" si="21"/>
        <v>0</v>
      </c>
      <c r="BO22" s="169" t="str">
        <f t="shared" si="22"/>
        <v>P1</v>
      </c>
      <c r="BP22" s="169" t="str">
        <f t="shared" si="23"/>
        <v>P2</v>
      </c>
      <c r="BQ22" s="169" t="str">
        <f t="shared" si="24"/>
        <v>CV</v>
      </c>
      <c r="BR22" s="169" t="str">
        <f t="shared" si="25"/>
        <v>CP</v>
      </c>
      <c r="BS22" s="169">
        <f t="shared" si="26"/>
        <v>0</v>
      </c>
      <c r="BT22" s="169">
        <f t="shared" si="27"/>
        <v>0</v>
      </c>
      <c r="BU22" s="169">
        <f t="shared" si="28"/>
        <v>25</v>
      </c>
      <c r="BV22" s="169">
        <f t="shared" si="29"/>
        <v>25</v>
      </c>
      <c r="BW22" s="169">
        <f t="shared" si="30"/>
        <v>0</v>
      </c>
      <c r="BX22" s="169">
        <f t="shared" si="31"/>
        <v>0</v>
      </c>
      <c r="BY22" s="169">
        <f t="shared" si="32"/>
        <v>0</v>
      </c>
      <c r="BZ22" s="169">
        <f t="shared" si="33"/>
        <v>0</v>
      </c>
      <c r="CA22" s="159" t="str">
        <f t="shared" si="34"/>
        <v>Midterm Exam</v>
      </c>
      <c r="CB22" s="159">
        <f t="shared" si="35"/>
        <v>40</v>
      </c>
      <c r="CC22" s="159">
        <f t="shared" si="36"/>
        <v>0</v>
      </c>
      <c r="CD22" s="159" t="str">
        <f t="shared" si="37"/>
        <v xml:space="preserve"> </v>
      </c>
      <c r="CE22" s="179" t="str">
        <f t="shared" si="38"/>
        <v>LO2</v>
      </c>
      <c r="CF22" s="180">
        <f t="shared" si="39"/>
        <v>0</v>
      </c>
      <c r="CG22" s="180">
        <f t="shared" si="40"/>
        <v>0</v>
      </c>
      <c r="CH22" s="180">
        <f t="shared" si="41"/>
        <v>0</v>
      </c>
      <c r="CI22" s="180">
        <f t="shared" si="42"/>
        <v>0</v>
      </c>
      <c r="CJ22" s="180">
        <f t="shared" si="43"/>
        <v>0</v>
      </c>
      <c r="CK22" s="180">
        <f t="shared" si="44"/>
        <v>25</v>
      </c>
      <c r="CL22" s="180">
        <f t="shared" si="45"/>
        <v>0</v>
      </c>
      <c r="CM22" s="180">
        <f t="shared" si="46"/>
        <v>0</v>
      </c>
      <c r="CN22" s="180">
        <f t="shared" si="47"/>
        <v>0</v>
      </c>
      <c r="CO22" s="154">
        <f t="shared" si="48"/>
        <v>0</v>
      </c>
      <c r="CP22" s="154">
        <f t="shared" si="49"/>
        <v>0</v>
      </c>
      <c r="CQ22" s="180" t="str">
        <f t="shared" si="50"/>
        <v>P3</v>
      </c>
      <c r="CR22" s="180">
        <f t="shared" si="51"/>
        <v>0</v>
      </c>
      <c r="CS22" s="180" t="str">
        <f t="shared" si="52"/>
        <v>LS</v>
      </c>
      <c r="CT22" s="180" t="str">
        <f t="shared" si="53"/>
        <v>B</v>
      </c>
      <c r="CU22" s="180">
        <f t="shared" si="54"/>
        <v>0</v>
      </c>
      <c r="CV22" s="180">
        <f t="shared" si="55"/>
        <v>0</v>
      </c>
      <c r="CW22" s="180">
        <f t="shared" si="56"/>
        <v>25</v>
      </c>
      <c r="CX22" s="154">
        <f t="shared" si="57"/>
        <v>0</v>
      </c>
      <c r="CY22" s="154">
        <f t="shared" si="58"/>
        <v>0</v>
      </c>
      <c r="CZ22" s="154">
        <f t="shared" si="59"/>
        <v>0</v>
      </c>
      <c r="DA22" s="154">
        <f t="shared" si="60"/>
        <v>0</v>
      </c>
      <c r="DB22" s="186">
        <f t="shared" si="61"/>
        <v>0</v>
      </c>
      <c r="DC22" s="169">
        <f t="shared" si="62"/>
        <v>25</v>
      </c>
      <c r="DD22" s="169" t="str">
        <f t="shared" si="63"/>
        <v>Final Exam</v>
      </c>
      <c r="DE22" s="159" t="str">
        <f t="shared" si="64"/>
        <v xml:space="preserve"> </v>
      </c>
      <c r="DF22" s="159">
        <f t="shared" si="65"/>
        <v>0</v>
      </c>
    </row>
    <row r="23" spans="2:110" s="113" customFormat="1" ht="26.25" customHeight="1" thickBot="1" x14ac:dyDescent="0.25">
      <c r="B23" s="246" t="s">
        <v>151</v>
      </c>
      <c r="C23" s="247"/>
      <c r="D23" s="137">
        <f>SUM(D17:D22)</f>
        <v>1</v>
      </c>
      <c r="E23" s="138">
        <f>SUM(E17:E22)</f>
        <v>1</v>
      </c>
      <c r="G23" s="60">
        <v>17</v>
      </c>
      <c r="H23" s="66"/>
      <c r="I23" s="63"/>
      <c r="J23" s="97"/>
      <c r="K23" s="102"/>
      <c r="L23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3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3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3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3" s="40"/>
      <c r="Q23" s="41"/>
      <c r="R23" s="41"/>
      <c r="S23" s="41"/>
      <c r="T23" s="41"/>
      <c r="U23" s="42"/>
      <c r="V23" s="43"/>
      <c r="W23" s="41"/>
      <c r="X23" s="41"/>
      <c r="Y23" s="41"/>
      <c r="Z23" s="41"/>
      <c r="AA23" s="42"/>
      <c r="AB23" s="44"/>
      <c r="AC23" s="73"/>
      <c r="AD23" s="43"/>
      <c r="AE23" s="43"/>
      <c r="AF23" s="43"/>
      <c r="AG23" s="41"/>
      <c r="AH23" s="41"/>
      <c r="AI23" s="42"/>
      <c r="AJ23" s="43"/>
      <c r="AK23" s="43"/>
      <c r="AL23" s="43"/>
      <c r="AM23" s="41"/>
      <c r="AN23" s="41"/>
      <c r="AO23" s="41"/>
      <c r="AP23" s="44"/>
      <c r="AQ23" s="73"/>
      <c r="AR23" s="150"/>
      <c r="AS23" s="157">
        <f t="shared" si="0"/>
        <v>0</v>
      </c>
      <c r="AT23" s="161">
        <f t="shared" si="1"/>
        <v>0.3</v>
      </c>
      <c r="AU23" s="161">
        <f t="shared" si="2"/>
        <v>0.4</v>
      </c>
      <c r="AV23" s="161">
        <f t="shared" si="3"/>
        <v>0.3</v>
      </c>
      <c r="AW23" s="161" t="str">
        <f t="shared" si="4"/>
        <v xml:space="preserve"> </v>
      </c>
      <c r="AX23" s="161">
        <f t="shared" si="5"/>
        <v>0.3</v>
      </c>
      <c r="AY23" s="161">
        <f t="shared" si="6"/>
        <v>0.4</v>
      </c>
      <c r="AZ23" s="161">
        <f t="shared" si="7"/>
        <v>0.15</v>
      </c>
      <c r="BA23" s="161">
        <f t="shared" si="8"/>
        <v>0.15</v>
      </c>
      <c r="BB23" s="161" t="str">
        <f t="shared" si="9"/>
        <v xml:space="preserve"> </v>
      </c>
      <c r="BC23" s="157" t="str">
        <f t="shared" si="10"/>
        <v>LO1</v>
      </c>
      <c r="BD23" s="157" t="str">
        <f t="shared" si="11"/>
        <v>Q1</v>
      </c>
      <c r="BE23" s="157">
        <f t="shared" si="12"/>
        <v>0</v>
      </c>
      <c r="BF23" s="157">
        <f t="shared" si="13"/>
        <v>0</v>
      </c>
      <c r="BG23" s="157">
        <f t="shared" si="14"/>
        <v>0</v>
      </c>
      <c r="BH23" s="157">
        <f t="shared" si="15"/>
        <v>0</v>
      </c>
      <c r="BI23" s="157">
        <f t="shared" si="16"/>
        <v>25</v>
      </c>
      <c r="BJ23" s="157">
        <f t="shared" si="17"/>
        <v>20</v>
      </c>
      <c r="BK23" s="157">
        <f t="shared" si="18"/>
        <v>0</v>
      </c>
      <c r="BL23" s="157">
        <f t="shared" si="19"/>
        <v>0</v>
      </c>
      <c r="BM23" s="157">
        <f t="shared" si="20"/>
        <v>0</v>
      </c>
      <c r="BN23" s="157">
        <f t="shared" si="21"/>
        <v>0</v>
      </c>
      <c r="BO23" s="167" t="str">
        <f t="shared" si="22"/>
        <v>P1</v>
      </c>
      <c r="BP23" s="167" t="str">
        <f t="shared" si="23"/>
        <v>P2</v>
      </c>
      <c r="BQ23" s="167" t="str">
        <f t="shared" si="24"/>
        <v>CV</v>
      </c>
      <c r="BR23" s="167" t="str">
        <f t="shared" si="25"/>
        <v>CP</v>
      </c>
      <c r="BS23" s="167">
        <f t="shared" si="26"/>
        <v>0</v>
      </c>
      <c r="BT23" s="167">
        <f t="shared" si="27"/>
        <v>0</v>
      </c>
      <c r="BU23" s="167">
        <f t="shared" si="28"/>
        <v>25</v>
      </c>
      <c r="BV23" s="167">
        <f t="shared" si="29"/>
        <v>25</v>
      </c>
      <c r="BW23" s="167">
        <f t="shared" si="30"/>
        <v>0</v>
      </c>
      <c r="BX23" s="167">
        <f t="shared" si="31"/>
        <v>0</v>
      </c>
      <c r="BY23" s="167">
        <f t="shared" si="32"/>
        <v>0</v>
      </c>
      <c r="BZ23" s="167">
        <f t="shared" si="33"/>
        <v>0</v>
      </c>
      <c r="CA23" s="157" t="str">
        <f t="shared" si="34"/>
        <v>Midterm Exam</v>
      </c>
      <c r="CB23" s="157">
        <f t="shared" si="35"/>
        <v>40</v>
      </c>
      <c r="CC23" s="157">
        <f t="shared" si="36"/>
        <v>0</v>
      </c>
      <c r="CD23" s="157" t="str">
        <f t="shared" si="37"/>
        <v xml:space="preserve"> </v>
      </c>
      <c r="CE23" s="174" t="str">
        <f t="shared" si="38"/>
        <v>LO2</v>
      </c>
      <c r="CF23" s="175">
        <f t="shared" si="39"/>
        <v>0</v>
      </c>
      <c r="CG23" s="175">
        <f t="shared" si="40"/>
        <v>0</v>
      </c>
      <c r="CH23" s="175">
        <f t="shared" si="41"/>
        <v>0</v>
      </c>
      <c r="CI23" s="175">
        <f t="shared" si="42"/>
        <v>0</v>
      </c>
      <c r="CJ23" s="175">
        <f t="shared" si="43"/>
        <v>0</v>
      </c>
      <c r="CK23" s="175">
        <f t="shared" si="44"/>
        <v>25</v>
      </c>
      <c r="CL23" s="175">
        <f t="shared" si="45"/>
        <v>0</v>
      </c>
      <c r="CM23" s="175">
        <f t="shared" si="46"/>
        <v>0</v>
      </c>
      <c r="CN23" s="175">
        <f t="shared" si="47"/>
        <v>0</v>
      </c>
      <c r="CO23" s="153">
        <f t="shared" si="48"/>
        <v>0</v>
      </c>
      <c r="CP23" s="153">
        <f t="shared" si="49"/>
        <v>0</v>
      </c>
      <c r="CQ23" s="175" t="str">
        <f t="shared" si="50"/>
        <v>P3</v>
      </c>
      <c r="CR23" s="175">
        <f t="shared" si="51"/>
        <v>0</v>
      </c>
      <c r="CS23" s="175" t="str">
        <f t="shared" si="52"/>
        <v>LS</v>
      </c>
      <c r="CT23" s="175" t="str">
        <f t="shared" si="53"/>
        <v>B</v>
      </c>
      <c r="CU23" s="175">
        <f t="shared" si="54"/>
        <v>0</v>
      </c>
      <c r="CV23" s="175">
        <f t="shared" si="55"/>
        <v>0</v>
      </c>
      <c r="CW23" s="175">
        <f t="shared" si="56"/>
        <v>25</v>
      </c>
      <c r="CX23" s="153">
        <f t="shared" si="57"/>
        <v>0</v>
      </c>
      <c r="CY23" s="153">
        <f t="shared" si="58"/>
        <v>0</v>
      </c>
      <c r="CZ23" s="153">
        <f t="shared" si="59"/>
        <v>0</v>
      </c>
      <c r="DA23" s="153">
        <f t="shared" si="60"/>
        <v>0</v>
      </c>
      <c r="DB23" s="184">
        <f t="shared" si="61"/>
        <v>0</v>
      </c>
      <c r="DC23" s="167">
        <f t="shared" si="62"/>
        <v>25</v>
      </c>
      <c r="DD23" s="167" t="str">
        <f t="shared" si="63"/>
        <v>Final Exam</v>
      </c>
      <c r="DE23" s="157" t="str">
        <f t="shared" si="64"/>
        <v xml:space="preserve"> </v>
      </c>
      <c r="DF23" s="157">
        <f t="shared" si="65"/>
        <v>0</v>
      </c>
    </row>
    <row r="24" spans="2:110" s="113" customFormat="1" ht="26.25" customHeight="1" thickBot="1" x14ac:dyDescent="0.25">
      <c r="G24" s="60">
        <v>18</v>
      </c>
      <c r="H24" s="66"/>
      <c r="I24" s="63"/>
      <c r="J24" s="97"/>
      <c r="K24" s="102"/>
      <c r="L24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4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4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4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4" s="40"/>
      <c r="Q24" s="41"/>
      <c r="R24" s="41"/>
      <c r="S24" s="41"/>
      <c r="T24" s="41"/>
      <c r="U24" s="42"/>
      <c r="V24" s="43"/>
      <c r="W24" s="41"/>
      <c r="X24" s="41"/>
      <c r="Y24" s="41"/>
      <c r="Z24" s="41"/>
      <c r="AA24" s="42"/>
      <c r="AB24" s="44"/>
      <c r="AC24" s="73"/>
      <c r="AD24" s="43"/>
      <c r="AE24" s="43"/>
      <c r="AF24" s="43"/>
      <c r="AG24" s="41"/>
      <c r="AH24" s="41"/>
      <c r="AI24" s="42"/>
      <c r="AJ24" s="43"/>
      <c r="AK24" s="43"/>
      <c r="AL24" s="43"/>
      <c r="AM24" s="41"/>
      <c r="AN24" s="41"/>
      <c r="AO24" s="41"/>
      <c r="AP24" s="44"/>
      <c r="AQ24" s="73"/>
      <c r="AR24" s="150"/>
      <c r="AS24" s="157">
        <f t="shared" si="0"/>
        <v>0</v>
      </c>
      <c r="AT24" s="161">
        <f t="shared" si="1"/>
        <v>0.3</v>
      </c>
      <c r="AU24" s="161">
        <f t="shared" si="2"/>
        <v>0.4</v>
      </c>
      <c r="AV24" s="161">
        <f t="shared" si="3"/>
        <v>0.3</v>
      </c>
      <c r="AW24" s="161" t="str">
        <f t="shared" si="4"/>
        <v xml:space="preserve"> </v>
      </c>
      <c r="AX24" s="161">
        <f t="shared" si="5"/>
        <v>0.3</v>
      </c>
      <c r="AY24" s="161">
        <f t="shared" si="6"/>
        <v>0.4</v>
      </c>
      <c r="AZ24" s="161">
        <f t="shared" si="7"/>
        <v>0.15</v>
      </c>
      <c r="BA24" s="161">
        <f t="shared" si="8"/>
        <v>0.15</v>
      </c>
      <c r="BB24" s="161" t="str">
        <f t="shared" si="9"/>
        <v xml:space="preserve"> </v>
      </c>
      <c r="BC24" s="157" t="str">
        <f t="shared" si="10"/>
        <v>LO1</v>
      </c>
      <c r="BD24" s="157" t="str">
        <f t="shared" si="11"/>
        <v>Q1</v>
      </c>
      <c r="BE24" s="157">
        <f t="shared" si="12"/>
        <v>0</v>
      </c>
      <c r="BF24" s="157">
        <f t="shared" si="13"/>
        <v>0</v>
      </c>
      <c r="BG24" s="157">
        <f t="shared" si="14"/>
        <v>0</v>
      </c>
      <c r="BH24" s="157">
        <f t="shared" si="15"/>
        <v>0</v>
      </c>
      <c r="BI24" s="157">
        <f t="shared" si="16"/>
        <v>25</v>
      </c>
      <c r="BJ24" s="157">
        <f t="shared" si="17"/>
        <v>20</v>
      </c>
      <c r="BK24" s="157">
        <f t="shared" si="18"/>
        <v>0</v>
      </c>
      <c r="BL24" s="157">
        <f t="shared" si="19"/>
        <v>0</v>
      </c>
      <c r="BM24" s="157">
        <f t="shared" si="20"/>
        <v>0</v>
      </c>
      <c r="BN24" s="157">
        <f t="shared" si="21"/>
        <v>0</v>
      </c>
      <c r="BO24" s="167" t="str">
        <f t="shared" si="22"/>
        <v>P1</v>
      </c>
      <c r="BP24" s="167" t="str">
        <f t="shared" si="23"/>
        <v>P2</v>
      </c>
      <c r="BQ24" s="167" t="str">
        <f t="shared" si="24"/>
        <v>CV</v>
      </c>
      <c r="BR24" s="167" t="str">
        <f t="shared" si="25"/>
        <v>CP</v>
      </c>
      <c r="BS24" s="167">
        <f t="shared" si="26"/>
        <v>0</v>
      </c>
      <c r="BT24" s="167">
        <f t="shared" si="27"/>
        <v>0</v>
      </c>
      <c r="BU24" s="167">
        <f t="shared" si="28"/>
        <v>25</v>
      </c>
      <c r="BV24" s="167">
        <f t="shared" si="29"/>
        <v>25</v>
      </c>
      <c r="BW24" s="167">
        <f t="shared" si="30"/>
        <v>0</v>
      </c>
      <c r="BX24" s="167">
        <f t="shared" si="31"/>
        <v>0</v>
      </c>
      <c r="BY24" s="167">
        <f t="shared" si="32"/>
        <v>0</v>
      </c>
      <c r="BZ24" s="167">
        <f t="shared" si="33"/>
        <v>0</v>
      </c>
      <c r="CA24" s="157" t="str">
        <f t="shared" si="34"/>
        <v>Midterm Exam</v>
      </c>
      <c r="CB24" s="157">
        <f t="shared" si="35"/>
        <v>40</v>
      </c>
      <c r="CC24" s="157">
        <f t="shared" si="36"/>
        <v>0</v>
      </c>
      <c r="CD24" s="157" t="str">
        <f t="shared" si="37"/>
        <v xml:space="preserve"> </v>
      </c>
      <c r="CE24" s="174" t="str">
        <f t="shared" si="38"/>
        <v>LO2</v>
      </c>
      <c r="CF24" s="175">
        <f t="shared" si="39"/>
        <v>0</v>
      </c>
      <c r="CG24" s="175">
        <f t="shared" si="40"/>
        <v>0</v>
      </c>
      <c r="CH24" s="175">
        <f t="shared" si="41"/>
        <v>0</v>
      </c>
      <c r="CI24" s="175">
        <f t="shared" si="42"/>
        <v>0</v>
      </c>
      <c r="CJ24" s="175">
        <f t="shared" si="43"/>
        <v>0</v>
      </c>
      <c r="CK24" s="175">
        <f t="shared" si="44"/>
        <v>25</v>
      </c>
      <c r="CL24" s="175">
        <f t="shared" si="45"/>
        <v>0</v>
      </c>
      <c r="CM24" s="175">
        <f t="shared" si="46"/>
        <v>0</v>
      </c>
      <c r="CN24" s="175">
        <f t="shared" si="47"/>
        <v>0</v>
      </c>
      <c r="CO24" s="153">
        <f t="shared" si="48"/>
        <v>0</v>
      </c>
      <c r="CP24" s="153">
        <f t="shared" si="49"/>
        <v>0</v>
      </c>
      <c r="CQ24" s="175" t="str">
        <f t="shared" si="50"/>
        <v>P3</v>
      </c>
      <c r="CR24" s="175">
        <f t="shared" si="51"/>
        <v>0</v>
      </c>
      <c r="CS24" s="175" t="str">
        <f t="shared" si="52"/>
        <v>LS</v>
      </c>
      <c r="CT24" s="175" t="str">
        <f t="shared" si="53"/>
        <v>B</v>
      </c>
      <c r="CU24" s="175">
        <f t="shared" si="54"/>
        <v>0</v>
      </c>
      <c r="CV24" s="175">
        <f t="shared" si="55"/>
        <v>0</v>
      </c>
      <c r="CW24" s="175">
        <f t="shared" si="56"/>
        <v>25</v>
      </c>
      <c r="CX24" s="153">
        <f t="shared" si="57"/>
        <v>0</v>
      </c>
      <c r="CY24" s="153">
        <f t="shared" si="58"/>
        <v>0</v>
      </c>
      <c r="CZ24" s="153">
        <f t="shared" si="59"/>
        <v>0</v>
      </c>
      <c r="DA24" s="153">
        <f t="shared" si="60"/>
        <v>0</v>
      </c>
      <c r="DB24" s="184">
        <f t="shared" si="61"/>
        <v>0</v>
      </c>
      <c r="DC24" s="167">
        <f t="shared" si="62"/>
        <v>25</v>
      </c>
      <c r="DD24" s="167" t="str">
        <f t="shared" si="63"/>
        <v>Final Exam</v>
      </c>
      <c r="DE24" s="157" t="str">
        <f t="shared" si="64"/>
        <v xml:space="preserve"> </v>
      </c>
      <c r="DF24" s="157">
        <f t="shared" si="65"/>
        <v>0</v>
      </c>
    </row>
    <row r="25" spans="2:110" s="113" customFormat="1" ht="26.25" customHeight="1" thickBot="1" x14ac:dyDescent="0.25">
      <c r="D25" s="239" t="s">
        <v>152</v>
      </c>
      <c r="E25" s="240"/>
      <c r="G25" s="60">
        <v>19</v>
      </c>
      <c r="H25" s="66"/>
      <c r="I25" s="63"/>
      <c r="J25" s="97"/>
      <c r="K25" s="102"/>
      <c r="L25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5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5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5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5" s="40"/>
      <c r="Q25" s="41"/>
      <c r="R25" s="41"/>
      <c r="S25" s="41"/>
      <c r="T25" s="41"/>
      <c r="U25" s="42"/>
      <c r="V25" s="43"/>
      <c r="W25" s="41"/>
      <c r="X25" s="41"/>
      <c r="Y25" s="41"/>
      <c r="Z25" s="41"/>
      <c r="AA25" s="42"/>
      <c r="AB25" s="44"/>
      <c r="AC25" s="73"/>
      <c r="AD25" s="43"/>
      <c r="AE25" s="43"/>
      <c r="AF25" s="43"/>
      <c r="AG25" s="41"/>
      <c r="AH25" s="41"/>
      <c r="AI25" s="42"/>
      <c r="AJ25" s="43"/>
      <c r="AK25" s="43"/>
      <c r="AL25" s="43"/>
      <c r="AM25" s="41"/>
      <c r="AN25" s="41"/>
      <c r="AO25" s="41"/>
      <c r="AP25" s="44"/>
      <c r="AQ25" s="73"/>
      <c r="AR25" s="150"/>
      <c r="AS25" s="157">
        <f t="shared" si="0"/>
        <v>0</v>
      </c>
      <c r="AT25" s="161">
        <f t="shared" si="1"/>
        <v>0.3</v>
      </c>
      <c r="AU25" s="161">
        <f t="shared" si="2"/>
        <v>0.4</v>
      </c>
      <c r="AV25" s="161">
        <f t="shared" si="3"/>
        <v>0.3</v>
      </c>
      <c r="AW25" s="161" t="str">
        <f t="shared" si="4"/>
        <v xml:space="preserve"> </v>
      </c>
      <c r="AX25" s="161">
        <f t="shared" si="5"/>
        <v>0.3</v>
      </c>
      <c r="AY25" s="161">
        <f t="shared" si="6"/>
        <v>0.4</v>
      </c>
      <c r="AZ25" s="161">
        <f t="shared" si="7"/>
        <v>0.15</v>
      </c>
      <c r="BA25" s="161">
        <f t="shared" si="8"/>
        <v>0.15</v>
      </c>
      <c r="BB25" s="161" t="str">
        <f t="shared" si="9"/>
        <v xml:space="preserve"> </v>
      </c>
      <c r="BC25" s="157" t="str">
        <f t="shared" si="10"/>
        <v>LO1</v>
      </c>
      <c r="BD25" s="157" t="str">
        <f t="shared" si="11"/>
        <v>Q1</v>
      </c>
      <c r="BE25" s="157">
        <f t="shared" si="12"/>
        <v>0</v>
      </c>
      <c r="BF25" s="157">
        <f t="shared" si="13"/>
        <v>0</v>
      </c>
      <c r="BG25" s="157">
        <f t="shared" si="14"/>
        <v>0</v>
      </c>
      <c r="BH25" s="157">
        <f t="shared" si="15"/>
        <v>0</v>
      </c>
      <c r="BI25" s="157">
        <f t="shared" si="16"/>
        <v>25</v>
      </c>
      <c r="BJ25" s="157">
        <f t="shared" si="17"/>
        <v>20</v>
      </c>
      <c r="BK25" s="157">
        <f t="shared" si="18"/>
        <v>0</v>
      </c>
      <c r="BL25" s="157">
        <f t="shared" si="19"/>
        <v>0</v>
      </c>
      <c r="BM25" s="157">
        <f t="shared" si="20"/>
        <v>0</v>
      </c>
      <c r="BN25" s="157">
        <f t="shared" si="21"/>
        <v>0</v>
      </c>
      <c r="BO25" s="167" t="str">
        <f t="shared" si="22"/>
        <v>P1</v>
      </c>
      <c r="BP25" s="167" t="str">
        <f t="shared" si="23"/>
        <v>P2</v>
      </c>
      <c r="BQ25" s="167" t="str">
        <f t="shared" si="24"/>
        <v>CV</v>
      </c>
      <c r="BR25" s="167" t="str">
        <f t="shared" si="25"/>
        <v>CP</v>
      </c>
      <c r="BS25" s="167">
        <f t="shared" si="26"/>
        <v>0</v>
      </c>
      <c r="BT25" s="167">
        <f t="shared" si="27"/>
        <v>0</v>
      </c>
      <c r="BU25" s="167">
        <f t="shared" si="28"/>
        <v>25</v>
      </c>
      <c r="BV25" s="167">
        <f t="shared" si="29"/>
        <v>25</v>
      </c>
      <c r="BW25" s="167">
        <f t="shared" si="30"/>
        <v>0</v>
      </c>
      <c r="BX25" s="167">
        <f t="shared" si="31"/>
        <v>0</v>
      </c>
      <c r="BY25" s="167">
        <f t="shared" si="32"/>
        <v>0</v>
      </c>
      <c r="BZ25" s="167">
        <f t="shared" si="33"/>
        <v>0</v>
      </c>
      <c r="CA25" s="157" t="str">
        <f t="shared" si="34"/>
        <v>Midterm Exam</v>
      </c>
      <c r="CB25" s="157">
        <f t="shared" si="35"/>
        <v>40</v>
      </c>
      <c r="CC25" s="157">
        <f t="shared" si="36"/>
        <v>0</v>
      </c>
      <c r="CD25" s="157" t="str">
        <f t="shared" si="37"/>
        <v xml:space="preserve"> </v>
      </c>
      <c r="CE25" s="174" t="str">
        <f t="shared" si="38"/>
        <v>LO2</v>
      </c>
      <c r="CF25" s="175">
        <f t="shared" si="39"/>
        <v>0</v>
      </c>
      <c r="CG25" s="175">
        <f t="shared" si="40"/>
        <v>0</v>
      </c>
      <c r="CH25" s="175">
        <f t="shared" si="41"/>
        <v>0</v>
      </c>
      <c r="CI25" s="175">
        <f t="shared" si="42"/>
        <v>0</v>
      </c>
      <c r="CJ25" s="175">
        <f t="shared" si="43"/>
        <v>0</v>
      </c>
      <c r="CK25" s="175">
        <f t="shared" si="44"/>
        <v>25</v>
      </c>
      <c r="CL25" s="175">
        <f t="shared" si="45"/>
        <v>0</v>
      </c>
      <c r="CM25" s="175">
        <f t="shared" si="46"/>
        <v>0</v>
      </c>
      <c r="CN25" s="175">
        <f t="shared" si="47"/>
        <v>0</v>
      </c>
      <c r="CO25" s="153">
        <f t="shared" si="48"/>
        <v>0</v>
      </c>
      <c r="CP25" s="153">
        <f t="shared" si="49"/>
        <v>0</v>
      </c>
      <c r="CQ25" s="175" t="str">
        <f t="shared" si="50"/>
        <v>P3</v>
      </c>
      <c r="CR25" s="175">
        <f t="shared" si="51"/>
        <v>0</v>
      </c>
      <c r="CS25" s="175" t="str">
        <f t="shared" si="52"/>
        <v>LS</v>
      </c>
      <c r="CT25" s="175" t="str">
        <f t="shared" si="53"/>
        <v>B</v>
      </c>
      <c r="CU25" s="175">
        <f t="shared" si="54"/>
        <v>0</v>
      </c>
      <c r="CV25" s="175">
        <f t="shared" si="55"/>
        <v>0</v>
      </c>
      <c r="CW25" s="175">
        <f t="shared" si="56"/>
        <v>25</v>
      </c>
      <c r="CX25" s="153">
        <f t="shared" si="57"/>
        <v>0</v>
      </c>
      <c r="CY25" s="153">
        <f t="shared" si="58"/>
        <v>0</v>
      </c>
      <c r="CZ25" s="153">
        <f t="shared" si="59"/>
        <v>0</v>
      </c>
      <c r="DA25" s="153">
        <f t="shared" si="60"/>
        <v>0</v>
      </c>
      <c r="DB25" s="184">
        <f t="shared" si="61"/>
        <v>0</v>
      </c>
      <c r="DC25" s="167">
        <f t="shared" si="62"/>
        <v>25</v>
      </c>
      <c r="DD25" s="167" t="str">
        <f t="shared" si="63"/>
        <v>Final Exam</v>
      </c>
      <c r="DE25" s="157" t="str">
        <f t="shared" si="64"/>
        <v xml:space="preserve"> </v>
      </c>
      <c r="DF25" s="157">
        <f t="shared" si="65"/>
        <v>0</v>
      </c>
    </row>
    <row r="26" spans="2:110" s="113" customFormat="1" ht="26.25" customHeight="1" thickBot="1" x14ac:dyDescent="0.25">
      <c r="B26" s="113" t="s">
        <v>153</v>
      </c>
      <c r="D26" s="139" t="s">
        <v>43</v>
      </c>
      <c r="E26" s="139" t="s">
        <v>44</v>
      </c>
      <c r="G26" s="92">
        <v>20</v>
      </c>
      <c r="H26" s="83"/>
      <c r="I26" s="84"/>
      <c r="J26" s="98"/>
      <c r="K26" s="103"/>
      <c r="L26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6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6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6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6" s="85"/>
      <c r="Q26" s="86"/>
      <c r="R26" s="86"/>
      <c r="S26" s="86"/>
      <c r="T26" s="86"/>
      <c r="U26" s="87"/>
      <c r="V26" s="88"/>
      <c r="W26" s="86"/>
      <c r="X26" s="86"/>
      <c r="Y26" s="86"/>
      <c r="Z26" s="86"/>
      <c r="AA26" s="87"/>
      <c r="AB26" s="89"/>
      <c r="AC26" s="90"/>
      <c r="AD26" s="88"/>
      <c r="AE26" s="88"/>
      <c r="AF26" s="88"/>
      <c r="AG26" s="86"/>
      <c r="AH26" s="86"/>
      <c r="AI26" s="87"/>
      <c r="AJ26" s="88"/>
      <c r="AK26" s="88"/>
      <c r="AL26" s="88"/>
      <c r="AM26" s="86"/>
      <c r="AN26" s="86"/>
      <c r="AO26" s="86"/>
      <c r="AP26" s="89"/>
      <c r="AQ26" s="90"/>
      <c r="AR26" s="151"/>
      <c r="AS26" s="158">
        <f t="shared" si="0"/>
        <v>0</v>
      </c>
      <c r="AT26" s="165">
        <f t="shared" si="1"/>
        <v>0.3</v>
      </c>
      <c r="AU26" s="165">
        <f t="shared" si="2"/>
        <v>0.4</v>
      </c>
      <c r="AV26" s="165">
        <f t="shared" si="3"/>
        <v>0.3</v>
      </c>
      <c r="AW26" s="165" t="str">
        <f t="shared" si="4"/>
        <v xml:space="preserve"> </v>
      </c>
      <c r="AX26" s="165">
        <f t="shared" si="5"/>
        <v>0.3</v>
      </c>
      <c r="AY26" s="165">
        <f t="shared" si="6"/>
        <v>0.4</v>
      </c>
      <c r="AZ26" s="165">
        <f t="shared" si="7"/>
        <v>0.15</v>
      </c>
      <c r="BA26" s="165">
        <f t="shared" si="8"/>
        <v>0.15</v>
      </c>
      <c r="BB26" s="165" t="str">
        <f t="shared" si="9"/>
        <v xml:space="preserve"> </v>
      </c>
      <c r="BC26" s="158" t="str">
        <f t="shared" si="10"/>
        <v>LO1</v>
      </c>
      <c r="BD26" s="158" t="str">
        <f t="shared" si="11"/>
        <v>Q1</v>
      </c>
      <c r="BE26" s="158">
        <f t="shared" si="12"/>
        <v>0</v>
      </c>
      <c r="BF26" s="158">
        <f t="shared" si="13"/>
        <v>0</v>
      </c>
      <c r="BG26" s="158">
        <f t="shared" si="14"/>
        <v>0</v>
      </c>
      <c r="BH26" s="158">
        <f t="shared" si="15"/>
        <v>0</v>
      </c>
      <c r="BI26" s="158">
        <f t="shared" si="16"/>
        <v>25</v>
      </c>
      <c r="BJ26" s="158">
        <f t="shared" si="17"/>
        <v>20</v>
      </c>
      <c r="BK26" s="158">
        <f t="shared" si="18"/>
        <v>0</v>
      </c>
      <c r="BL26" s="158">
        <f t="shared" si="19"/>
        <v>0</v>
      </c>
      <c r="BM26" s="158">
        <f t="shared" si="20"/>
        <v>0</v>
      </c>
      <c r="BN26" s="158">
        <f t="shared" si="21"/>
        <v>0</v>
      </c>
      <c r="BO26" s="168" t="str">
        <f t="shared" si="22"/>
        <v>P1</v>
      </c>
      <c r="BP26" s="168" t="str">
        <f t="shared" si="23"/>
        <v>P2</v>
      </c>
      <c r="BQ26" s="168" t="str">
        <f t="shared" si="24"/>
        <v>CV</v>
      </c>
      <c r="BR26" s="168" t="str">
        <f t="shared" si="25"/>
        <v>CP</v>
      </c>
      <c r="BS26" s="168">
        <f t="shared" si="26"/>
        <v>0</v>
      </c>
      <c r="BT26" s="168">
        <f t="shared" si="27"/>
        <v>0</v>
      </c>
      <c r="BU26" s="168">
        <f t="shared" si="28"/>
        <v>25</v>
      </c>
      <c r="BV26" s="168">
        <f t="shared" si="29"/>
        <v>25</v>
      </c>
      <c r="BW26" s="168">
        <f t="shared" si="30"/>
        <v>0</v>
      </c>
      <c r="BX26" s="168">
        <f t="shared" si="31"/>
        <v>0</v>
      </c>
      <c r="BY26" s="168">
        <f t="shared" si="32"/>
        <v>0</v>
      </c>
      <c r="BZ26" s="168">
        <f t="shared" si="33"/>
        <v>0</v>
      </c>
      <c r="CA26" s="158" t="str">
        <f t="shared" si="34"/>
        <v>Midterm Exam</v>
      </c>
      <c r="CB26" s="158">
        <f t="shared" si="35"/>
        <v>40</v>
      </c>
      <c r="CC26" s="158">
        <f t="shared" si="36"/>
        <v>0</v>
      </c>
      <c r="CD26" s="158" t="str">
        <f t="shared" si="37"/>
        <v xml:space="preserve"> </v>
      </c>
      <c r="CE26" s="176" t="str">
        <f t="shared" si="38"/>
        <v>LO2</v>
      </c>
      <c r="CF26" s="177">
        <f t="shared" si="39"/>
        <v>0</v>
      </c>
      <c r="CG26" s="177">
        <f t="shared" si="40"/>
        <v>0</v>
      </c>
      <c r="CH26" s="177">
        <f t="shared" si="41"/>
        <v>0</v>
      </c>
      <c r="CI26" s="177">
        <f t="shared" si="42"/>
        <v>0</v>
      </c>
      <c r="CJ26" s="177">
        <f t="shared" si="43"/>
        <v>0</v>
      </c>
      <c r="CK26" s="177">
        <f t="shared" si="44"/>
        <v>25</v>
      </c>
      <c r="CL26" s="177">
        <f t="shared" si="45"/>
        <v>0</v>
      </c>
      <c r="CM26" s="177">
        <f t="shared" si="46"/>
        <v>0</v>
      </c>
      <c r="CN26" s="177">
        <f t="shared" si="47"/>
        <v>0</v>
      </c>
      <c r="CO26" s="178">
        <f t="shared" si="48"/>
        <v>0</v>
      </c>
      <c r="CP26" s="178">
        <f t="shared" si="49"/>
        <v>0</v>
      </c>
      <c r="CQ26" s="177" t="str">
        <f t="shared" si="50"/>
        <v>P3</v>
      </c>
      <c r="CR26" s="177">
        <f t="shared" si="51"/>
        <v>0</v>
      </c>
      <c r="CS26" s="177" t="str">
        <f t="shared" si="52"/>
        <v>LS</v>
      </c>
      <c r="CT26" s="177" t="str">
        <f t="shared" si="53"/>
        <v>B</v>
      </c>
      <c r="CU26" s="177">
        <f t="shared" si="54"/>
        <v>0</v>
      </c>
      <c r="CV26" s="177">
        <f t="shared" si="55"/>
        <v>0</v>
      </c>
      <c r="CW26" s="177">
        <f t="shared" si="56"/>
        <v>25</v>
      </c>
      <c r="CX26" s="178">
        <f t="shared" si="57"/>
        <v>0</v>
      </c>
      <c r="CY26" s="178">
        <f t="shared" si="58"/>
        <v>0</v>
      </c>
      <c r="CZ26" s="178">
        <f t="shared" si="59"/>
        <v>0</v>
      </c>
      <c r="DA26" s="178">
        <f t="shared" si="60"/>
        <v>0</v>
      </c>
      <c r="DB26" s="185">
        <f t="shared" si="61"/>
        <v>0</v>
      </c>
      <c r="DC26" s="168">
        <f t="shared" si="62"/>
        <v>25</v>
      </c>
      <c r="DD26" s="168" t="str">
        <f t="shared" si="63"/>
        <v>Final Exam</v>
      </c>
      <c r="DE26" s="158" t="str">
        <f t="shared" si="64"/>
        <v xml:space="preserve"> </v>
      </c>
      <c r="DF26" s="158">
        <f t="shared" si="65"/>
        <v>0</v>
      </c>
    </row>
    <row r="27" spans="2:110" s="113" customFormat="1" ht="26.25" customHeight="1" x14ac:dyDescent="0.2">
      <c r="D27" s="140" t="s">
        <v>154</v>
      </c>
      <c r="E27" s="140" t="s">
        <v>155</v>
      </c>
      <c r="G27" s="131">
        <v>21</v>
      </c>
      <c r="H27" s="75"/>
      <c r="I27" s="76"/>
      <c r="J27" s="99"/>
      <c r="K27" s="104"/>
      <c r="L27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7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7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7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7" s="77"/>
      <c r="Q27" s="78"/>
      <c r="R27" s="78"/>
      <c r="S27" s="78"/>
      <c r="T27" s="78"/>
      <c r="U27" s="79"/>
      <c r="V27" s="80"/>
      <c r="W27" s="78"/>
      <c r="X27" s="78"/>
      <c r="Y27" s="78"/>
      <c r="Z27" s="78"/>
      <c r="AA27" s="79"/>
      <c r="AB27" s="81"/>
      <c r="AC27" s="82"/>
      <c r="AD27" s="80"/>
      <c r="AE27" s="80"/>
      <c r="AF27" s="80"/>
      <c r="AG27" s="78"/>
      <c r="AH27" s="78"/>
      <c r="AI27" s="79"/>
      <c r="AJ27" s="80"/>
      <c r="AK27" s="80"/>
      <c r="AL27" s="80"/>
      <c r="AM27" s="78"/>
      <c r="AN27" s="78"/>
      <c r="AO27" s="78"/>
      <c r="AP27" s="81"/>
      <c r="AQ27" s="82"/>
      <c r="AR27" s="149"/>
      <c r="AS27" s="159">
        <f t="shared" si="0"/>
        <v>0</v>
      </c>
      <c r="AT27" s="162">
        <f t="shared" si="1"/>
        <v>0.3</v>
      </c>
      <c r="AU27" s="162">
        <f t="shared" si="2"/>
        <v>0.4</v>
      </c>
      <c r="AV27" s="162">
        <f t="shared" si="3"/>
        <v>0.3</v>
      </c>
      <c r="AW27" s="162" t="str">
        <f t="shared" si="4"/>
        <v xml:space="preserve"> </v>
      </c>
      <c r="AX27" s="162">
        <f t="shared" si="5"/>
        <v>0.3</v>
      </c>
      <c r="AY27" s="162">
        <f t="shared" si="6"/>
        <v>0.4</v>
      </c>
      <c r="AZ27" s="162">
        <f t="shared" si="7"/>
        <v>0.15</v>
      </c>
      <c r="BA27" s="162">
        <f t="shared" si="8"/>
        <v>0.15</v>
      </c>
      <c r="BB27" s="162" t="str">
        <f t="shared" si="9"/>
        <v xml:space="preserve"> </v>
      </c>
      <c r="BC27" s="159" t="str">
        <f t="shared" si="10"/>
        <v>LO1</v>
      </c>
      <c r="BD27" s="159" t="str">
        <f t="shared" si="11"/>
        <v>Q1</v>
      </c>
      <c r="BE27" s="159">
        <f t="shared" si="12"/>
        <v>0</v>
      </c>
      <c r="BF27" s="159">
        <f t="shared" si="13"/>
        <v>0</v>
      </c>
      <c r="BG27" s="159">
        <f t="shared" si="14"/>
        <v>0</v>
      </c>
      <c r="BH27" s="159">
        <f t="shared" si="15"/>
        <v>0</v>
      </c>
      <c r="BI27" s="159">
        <f t="shared" si="16"/>
        <v>25</v>
      </c>
      <c r="BJ27" s="159">
        <f t="shared" si="17"/>
        <v>20</v>
      </c>
      <c r="BK27" s="159">
        <f t="shared" si="18"/>
        <v>0</v>
      </c>
      <c r="BL27" s="159">
        <f t="shared" si="19"/>
        <v>0</v>
      </c>
      <c r="BM27" s="159">
        <f t="shared" si="20"/>
        <v>0</v>
      </c>
      <c r="BN27" s="159">
        <f t="shared" si="21"/>
        <v>0</v>
      </c>
      <c r="BO27" s="169" t="str">
        <f t="shared" si="22"/>
        <v>P1</v>
      </c>
      <c r="BP27" s="169" t="str">
        <f t="shared" si="23"/>
        <v>P2</v>
      </c>
      <c r="BQ27" s="169" t="str">
        <f t="shared" si="24"/>
        <v>CV</v>
      </c>
      <c r="BR27" s="169" t="str">
        <f t="shared" si="25"/>
        <v>CP</v>
      </c>
      <c r="BS27" s="169">
        <f t="shared" si="26"/>
        <v>0</v>
      </c>
      <c r="BT27" s="169">
        <f t="shared" si="27"/>
        <v>0</v>
      </c>
      <c r="BU27" s="169">
        <f t="shared" si="28"/>
        <v>25</v>
      </c>
      <c r="BV27" s="169">
        <f t="shared" si="29"/>
        <v>25</v>
      </c>
      <c r="BW27" s="169">
        <f t="shared" si="30"/>
        <v>0</v>
      </c>
      <c r="BX27" s="169">
        <f t="shared" si="31"/>
        <v>0</v>
      </c>
      <c r="BY27" s="169">
        <f t="shared" si="32"/>
        <v>0</v>
      </c>
      <c r="BZ27" s="169">
        <f t="shared" si="33"/>
        <v>0</v>
      </c>
      <c r="CA27" s="159" t="str">
        <f t="shared" si="34"/>
        <v>Midterm Exam</v>
      </c>
      <c r="CB27" s="159">
        <f t="shared" si="35"/>
        <v>40</v>
      </c>
      <c r="CC27" s="159">
        <f t="shared" si="36"/>
        <v>0</v>
      </c>
      <c r="CD27" s="159" t="str">
        <f t="shared" si="37"/>
        <v xml:space="preserve"> </v>
      </c>
      <c r="CE27" s="179" t="str">
        <f t="shared" si="38"/>
        <v>LO2</v>
      </c>
      <c r="CF27" s="180">
        <f t="shared" si="39"/>
        <v>0</v>
      </c>
      <c r="CG27" s="180">
        <f t="shared" si="40"/>
        <v>0</v>
      </c>
      <c r="CH27" s="180">
        <f t="shared" si="41"/>
        <v>0</v>
      </c>
      <c r="CI27" s="180">
        <f t="shared" si="42"/>
        <v>0</v>
      </c>
      <c r="CJ27" s="180">
        <f t="shared" si="43"/>
        <v>0</v>
      </c>
      <c r="CK27" s="180">
        <f t="shared" si="44"/>
        <v>25</v>
      </c>
      <c r="CL27" s="180">
        <f t="shared" si="45"/>
        <v>0</v>
      </c>
      <c r="CM27" s="180">
        <f t="shared" si="46"/>
        <v>0</v>
      </c>
      <c r="CN27" s="180">
        <f t="shared" si="47"/>
        <v>0</v>
      </c>
      <c r="CO27" s="154">
        <f t="shared" si="48"/>
        <v>0</v>
      </c>
      <c r="CP27" s="154">
        <f t="shared" si="49"/>
        <v>0</v>
      </c>
      <c r="CQ27" s="180" t="str">
        <f t="shared" si="50"/>
        <v>P3</v>
      </c>
      <c r="CR27" s="180">
        <f t="shared" si="51"/>
        <v>0</v>
      </c>
      <c r="CS27" s="180" t="str">
        <f t="shared" si="52"/>
        <v>LS</v>
      </c>
      <c r="CT27" s="180" t="str">
        <f t="shared" si="53"/>
        <v>B</v>
      </c>
      <c r="CU27" s="180">
        <f t="shared" si="54"/>
        <v>0</v>
      </c>
      <c r="CV27" s="180">
        <f t="shared" si="55"/>
        <v>0</v>
      </c>
      <c r="CW27" s="180">
        <f t="shared" si="56"/>
        <v>25</v>
      </c>
      <c r="CX27" s="154">
        <f t="shared" si="57"/>
        <v>0</v>
      </c>
      <c r="CY27" s="154">
        <f t="shared" si="58"/>
        <v>0</v>
      </c>
      <c r="CZ27" s="154">
        <f t="shared" si="59"/>
        <v>0</v>
      </c>
      <c r="DA27" s="154">
        <f t="shared" si="60"/>
        <v>0</v>
      </c>
      <c r="DB27" s="186">
        <f t="shared" si="61"/>
        <v>0</v>
      </c>
      <c r="DC27" s="169">
        <f t="shared" si="62"/>
        <v>25</v>
      </c>
      <c r="DD27" s="169" t="str">
        <f t="shared" si="63"/>
        <v>Final Exam</v>
      </c>
      <c r="DE27" s="159" t="str">
        <f t="shared" si="64"/>
        <v xml:space="preserve"> </v>
      </c>
      <c r="DF27" s="159">
        <f t="shared" si="65"/>
        <v>0</v>
      </c>
    </row>
    <row r="28" spans="2:110" s="113" customFormat="1" ht="26.25" customHeight="1" x14ac:dyDescent="0.2">
      <c r="B28" s="112" t="str">
        <f>'Cover Page'!C13</f>
        <v>MA. KATHERINE L. CALUNOD</v>
      </c>
      <c r="D28" s="141" t="s">
        <v>156</v>
      </c>
      <c r="E28" s="141" t="str">
        <f>IF((B12="Practicum"), "R", "1.0")</f>
        <v>1.0</v>
      </c>
      <c r="G28" s="60">
        <v>22</v>
      </c>
      <c r="H28" s="66"/>
      <c r="I28" s="63"/>
      <c r="J28" s="97"/>
      <c r="K28" s="102"/>
      <c r="L28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8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8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8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8" s="40"/>
      <c r="Q28" s="41"/>
      <c r="R28" s="41"/>
      <c r="S28" s="41"/>
      <c r="T28" s="41"/>
      <c r="U28" s="42"/>
      <c r="V28" s="43"/>
      <c r="W28" s="41"/>
      <c r="X28" s="41"/>
      <c r="Y28" s="41"/>
      <c r="Z28" s="41"/>
      <c r="AA28" s="42"/>
      <c r="AB28" s="44"/>
      <c r="AC28" s="73"/>
      <c r="AD28" s="43"/>
      <c r="AE28" s="43"/>
      <c r="AF28" s="43"/>
      <c r="AG28" s="41"/>
      <c r="AH28" s="41"/>
      <c r="AI28" s="42"/>
      <c r="AJ28" s="43"/>
      <c r="AK28" s="43"/>
      <c r="AL28" s="43"/>
      <c r="AM28" s="41"/>
      <c r="AN28" s="41"/>
      <c r="AO28" s="41"/>
      <c r="AP28" s="44"/>
      <c r="AQ28" s="73"/>
      <c r="AR28" s="150"/>
      <c r="AS28" s="157">
        <f t="shared" si="0"/>
        <v>0</v>
      </c>
      <c r="AT28" s="161">
        <f t="shared" si="1"/>
        <v>0.3</v>
      </c>
      <c r="AU28" s="161">
        <f t="shared" si="2"/>
        <v>0.4</v>
      </c>
      <c r="AV28" s="161">
        <f t="shared" si="3"/>
        <v>0.3</v>
      </c>
      <c r="AW28" s="161" t="str">
        <f t="shared" si="4"/>
        <v xml:space="preserve"> </v>
      </c>
      <c r="AX28" s="161">
        <f t="shared" si="5"/>
        <v>0.3</v>
      </c>
      <c r="AY28" s="161">
        <f t="shared" si="6"/>
        <v>0.4</v>
      </c>
      <c r="AZ28" s="161">
        <f t="shared" si="7"/>
        <v>0.15</v>
      </c>
      <c r="BA28" s="161">
        <f t="shared" si="8"/>
        <v>0.15</v>
      </c>
      <c r="BB28" s="161" t="str">
        <f t="shared" si="9"/>
        <v xml:space="preserve"> </v>
      </c>
      <c r="BC28" s="157" t="str">
        <f t="shared" si="10"/>
        <v>LO1</v>
      </c>
      <c r="BD28" s="157" t="str">
        <f t="shared" si="11"/>
        <v>Q1</v>
      </c>
      <c r="BE28" s="157">
        <f t="shared" si="12"/>
        <v>0</v>
      </c>
      <c r="BF28" s="157">
        <f t="shared" si="13"/>
        <v>0</v>
      </c>
      <c r="BG28" s="157">
        <f t="shared" si="14"/>
        <v>0</v>
      </c>
      <c r="BH28" s="157">
        <f t="shared" si="15"/>
        <v>0</v>
      </c>
      <c r="BI28" s="157">
        <f t="shared" si="16"/>
        <v>25</v>
      </c>
      <c r="BJ28" s="157">
        <f t="shared" si="17"/>
        <v>20</v>
      </c>
      <c r="BK28" s="157">
        <f t="shared" si="18"/>
        <v>0</v>
      </c>
      <c r="BL28" s="157">
        <f t="shared" si="19"/>
        <v>0</v>
      </c>
      <c r="BM28" s="157">
        <f t="shared" si="20"/>
        <v>0</v>
      </c>
      <c r="BN28" s="157">
        <f t="shared" si="21"/>
        <v>0</v>
      </c>
      <c r="BO28" s="167" t="str">
        <f t="shared" si="22"/>
        <v>P1</v>
      </c>
      <c r="BP28" s="167" t="str">
        <f t="shared" si="23"/>
        <v>P2</v>
      </c>
      <c r="BQ28" s="167" t="str">
        <f t="shared" si="24"/>
        <v>CV</v>
      </c>
      <c r="BR28" s="167" t="str">
        <f t="shared" si="25"/>
        <v>CP</v>
      </c>
      <c r="BS28" s="167">
        <f t="shared" si="26"/>
        <v>0</v>
      </c>
      <c r="BT28" s="167">
        <f t="shared" si="27"/>
        <v>0</v>
      </c>
      <c r="BU28" s="167">
        <f t="shared" si="28"/>
        <v>25</v>
      </c>
      <c r="BV28" s="167">
        <f t="shared" si="29"/>
        <v>25</v>
      </c>
      <c r="BW28" s="167">
        <f t="shared" si="30"/>
        <v>0</v>
      </c>
      <c r="BX28" s="167">
        <f t="shared" si="31"/>
        <v>0</v>
      </c>
      <c r="BY28" s="167">
        <f t="shared" si="32"/>
        <v>0</v>
      </c>
      <c r="BZ28" s="167">
        <f t="shared" si="33"/>
        <v>0</v>
      </c>
      <c r="CA28" s="157" t="str">
        <f t="shared" si="34"/>
        <v>Midterm Exam</v>
      </c>
      <c r="CB28" s="157">
        <f t="shared" si="35"/>
        <v>40</v>
      </c>
      <c r="CC28" s="157">
        <f t="shared" si="36"/>
        <v>0</v>
      </c>
      <c r="CD28" s="157" t="str">
        <f t="shared" si="37"/>
        <v xml:space="preserve"> </v>
      </c>
      <c r="CE28" s="174" t="str">
        <f t="shared" si="38"/>
        <v>LO2</v>
      </c>
      <c r="CF28" s="175">
        <f t="shared" si="39"/>
        <v>0</v>
      </c>
      <c r="CG28" s="175">
        <f t="shared" si="40"/>
        <v>0</v>
      </c>
      <c r="CH28" s="175">
        <f t="shared" si="41"/>
        <v>0</v>
      </c>
      <c r="CI28" s="175">
        <f t="shared" si="42"/>
        <v>0</v>
      </c>
      <c r="CJ28" s="175">
        <f t="shared" si="43"/>
        <v>0</v>
      </c>
      <c r="CK28" s="175">
        <f t="shared" si="44"/>
        <v>25</v>
      </c>
      <c r="CL28" s="175">
        <f t="shared" si="45"/>
        <v>0</v>
      </c>
      <c r="CM28" s="175">
        <f t="shared" si="46"/>
        <v>0</v>
      </c>
      <c r="CN28" s="175">
        <f t="shared" si="47"/>
        <v>0</v>
      </c>
      <c r="CO28" s="153">
        <f t="shared" si="48"/>
        <v>0</v>
      </c>
      <c r="CP28" s="153">
        <f t="shared" si="49"/>
        <v>0</v>
      </c>
      <c r="CQ28" s="175" t="str">
        <f t="shared" si="50"/>
        <v>P3</v>
      </c>
      <c r="CR28" s="175">
        <f t="shared" si="51"/>
        <v>0</v>
      </c>
      <c r="CS28" s="175" t="str">
        <f t="shared" si="52"/>
        <v>LS</v>
      </c>
      <c r="CT28" s="175" t="str">
        <f t="shared" si="53"/>
        <v>B</v>
      </c>
      <c r="CU28" s="175">
        <f t="shared" si="54"/>
        <v>0</v>
      </c>
      <c r="CV28" s="175">
        <f t="shared" si="55"/>
        <v>0</v>
      </c>
      <c r="CW28" s="175">
        <f t="shared" si="56"/>
        <v>25</v>
      </c>
      <c r="CX28" s="153">
        <f t="shared" si="57"/>
        <v>0</v>
      </c>
      <c r="CY28" s="153">
        <f t="shared" si="58"/>
        <v>0</v>
      </c>
      <c r="CZ28" s="153">
        <f t="shared" si="59"/>
        <v>0</v>
      </c>
      <c r="DA28" s="153">
        <f t="shared" si="60"/>
        <v>0</v>
      </c>
      <c r="DB28" s="184">
        <f t="shared" si="61"/>
        <v>0</v>
      </c>
      <c r="DC28" s="167">
        <f t="shared" si="62"/>
        <v>25</v>
      </c>
      <c r="DD28" s="167" t="str">
        <f t="shared" si="63"/>
        <v>Final Exam</v>
      </c>
      <c r="DE28" s="157" t="str">
        <f t="shared" si="64"/>
        <v xml:space="preserve"> </v>
      </c>
      <c r="DF28" s="157">
        <f t="shared" si="65"/>
        <v>0</v>
      </c>
    </row>
    <row r="29" spans="2:110" s="113" customFormat="1" ht="26.25" customHeight="1" x14ac:dyDescent="0.2">
      <c r="B29" s="113" t="s">
        <v>157</v>
      </c>
      <c r="D29" s="141" t="s">
        <v>158</v>
      </c>
      <c r="E29" s="141" t="str">
        <f>IF((B12="Practicum"), "R", "1.5")</f>
        <v>1.5</v>
      </c>
      <c r="G29" s="60">
        <v>23</v>
      </c>
      <c r="H29" s="66"/>
      <c r="I29" s="63"/>
      <c r="J29" s="97"/>
      <c r="K29" s="102"/>
      <c r="L29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29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29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29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29" s="40"/>
      <c r="Q29" s="41"/>
      <c r="R29" s="41"/>
      <c r="S29" s="41"/>
      <c r="T29" s="41"/>
      <c r="U29" s="42"/>
      <c r="V29" s="43"/>
      <c r="W29" s="41"/>
      <c r="X29" s="41"/>
      <c r="Y29" s="41"/>
      <c r="Z29" s="41"/>
      <c r="AA29" s="42"/>
      <c r="AB29" s="44"/>
      <c r="AC29" s="73"/>
      <c r="AD29" s="43"/>
      <c r="AE29" s="43"/>
      <c r="AF29" s="43"/>
      <c r="AG29" s="41"/>
      <c r="AH29" s="41"/>
      <c r="AI29" s="42"/>
      <c r="AJ29" s="43"/>
      <c r="AK29" s="43"/>
      <c r="AL29" s="43"/>
      <c r="AM29" s="41"/>
      <c r="AN29" s="41"/>
      <c r="AO29" s="41"/>
      <c r="AP29" s="44"/>
      <c r="AQ29" s="73"/>
      <c r="AR29" s="150"/>
      <c r="AS29" s="157">
        <f t="shared" si="0"/>
        <v>0</v>
      </c>
      <c r="AT29" s="161">
        <f t="shared" si="1"/>
        <v>0.3</v>
      </c>
      <c r="AU29" s="161">
        <f t="shared" si="2"/>
        <v>0.4</v>
      </c>
      <c r="AV29" s="161">
        <f t="shared" si="3"/>
        <v>0.3</v>
      </c>
      <c r="AW29" s="161" t="str">
        <f t="shared" si="4"/>
        <v xml:space="preserve"> </v>
      </c>
      <c r="AX29" s="161">
        <f t="shared" si="5"/>
        <v>0.3</v>
      </c>
      <c r="AY29" s="161">
        <f t="shared" si="6"/>
        <v>0.4</v>
      </c>
      <c r="AZ29" s="161">
        <f t="shared" si="7"/>
        <v>0.15</v>
      </c>
      <c r="BA29" s="161">
        <f t="shared" si="8"/>
        <v>0.15</v>
      </c>
      <c r="BB29" s="161" t="str">
        <f t="shared" si="9"/>
        <v xml:space="preserve"> </v>
      </c>
      <c r="BC29" s="157" t="str">
        <f t="shared" si="10"/>
        <v>LO1</v>
      </c>
      <c r="BD29" s="157" t="str">
        <f t="shared" si="11"/>
        <v>Q1</v>
      </c>
      <c r="BE29" s="157">
        <f t="shared" si="12"/>
        <v>0</v>
      </c>
      <c r="BF29" s="157">
        <f t="shared" si="13"/>
        <v>0</v>
      </c>
      <c r="BG29" s="157">
        <f t="shared" si="14"/>
        <v>0</v>
      </c>
      <c r="BH29" s="157">
        <f t="shared" si="15"/>
        <v>0</v>
      </c>
      <c r="BI29" s="157">
        <f t="shared" si="16"/>
        <v>25</v>
      </c>
      <c r="BJ29" s="157">
        <f t="shared" si="17"/>
        <v>20</v>
      </c>
      <c r="BK29" s="157">
        <f t="shared" si="18"/>
        <v>0</v>
      </c>
      <c r="BL29" s="157">
        <f t="shared" si="19"/>
        <v>0</v>
      </c>
      <c r="BM29" s="157">
        <f t="shared" si="20"/>
        <v>0</v>
      </c>
      <c r="BN29" s="157">
        <f t="shared" si="21"/>
        <v>0</v>
      </c>
      <c r="BO29" s="167" t="str">
        <f t="shared" si="22"/>
        <v>P1</v>
      </c>
      <c r="BP29" s="167" t="str">
        <f t="shared" si="23"/>
        <v>P2</v>
      </c>
      <c r="BQ29" s="167" t="str">
        <f t="shared" si="24"/>
        <v>CV</v>
      </c>
      <c r="BR29" s="167" t="str">
        <f t="shared" si="25"/>
        <v>CP</v>
      </c>
      <c r="BS29" s="167">
        <f t="shared" si="26"/>
        <v>0</v>
      </c>
      <c r="BT29" s="167">
        <f t="shared" si="27"/>
        <v>0</v>
      </c>
      <c r="BU29" s="167">
        <f t="shared" si="28"/>
        <v>25</v>
      </c>
      <c r="BV29" s="167">
        <f t="shared" si="29"/>
        <v>25</v>
      </c>
      <c r="BW29" s="167">
        <f t="shared" si="30"/>
        <v>0</v>
      </c>
      <c r="BX29" s="167">
        <f t="shared" si="31"/>
        <v>0</v>
      </c>
      <c r="BY29" s="167">
        <f t="shared" si="32"/>
        <v>0</v>
      </c>
      <c r="BZ29" s="167">
        <f t="shared" si="33"/>
        <v>0</v>
      </c>
      <c r="CA29" s="157" t="str">
        <f t="shared" si="34"/>
        <v>Midterm Exam</v>
      </c>
      <c r="CB29" s="157">
        <f t="shared" si="35"/>
        <v>40</v>
      </c>
      <c r="CC29" s="157">
        <f t="shared" si="36"/>
        <v>0</v>
      </c>
      <c r="CD29" s="157" t="str">
        <f t="shared" si="37"/>
        <v xml:space="preserve"> </v>
      </c>
      <c r="CE29" s="174" t="str">
        <f t="shared" si="38"/>
        <v>LO2</v>
      </c>
      <c r="CF29" s="175">
        <f t="shared" si="39"/>
        <v>0</v>
      </c>
      <c r="CG29" s="175">
        <f t="shared" si="40"/>
        <v>0</v>
      </c>
      <c r="CH29" s="175">
        <f t="shared" si="41"/>
        <v>0</v>
      </c>
      <c r="CI29" s="175">
        <f t="shared" si="42"/>
        <v>0</v>
      </c>
      <c r="CJ29" s="175">
        <f t="shared" si="43"/>
        <v>0</v>
      </c>
      <c r="CK29" s="175">
        <f t="shared" si="44"/>
        <v>25</v>
      </c>
      <c r="CL29" s="175">
        <f t="shared" si="45"/>
        <v>0</v>
      </c>
      <c r="CM29" s="175">
        <f t="shared" si="46"/>
        <v>0</v>
      </c>
      <c r="CN29" s="175">
        <f t="shared" si="47"/>
        <v>0</v>
      </c>
      <c r="CO29" s="153">
        <f t="shared" si="48"/>
        <v>0</v>
      </c>
      <c r="CP29" s="153">
        <f t="shared" si="49"/>
        <v>0</v>
      </c>
      <c r="CQ29" s="175" t="str">
        <f t="shared" si="50"/>
        <v>P3</v>
      </c>
      <c r="CR29" s="175">
        <f t="shared" si="51"/>
        <v>0</v>
      </c>
      <c r="CS29" s="175" t="str">
        <f t="shared" si="52"/>
        <v>LS</v>
      </c>
      <c r="CT29" s="175" t="str">
        <f t="shared" si="53"/>
        <v>B</v>
      </c>
      <c r="CU29" s="175">
        <f t="shared" si="54"/>
        <v>0</v>
      </c>
      <c r="CV29" s="175">
        <f t="shared" si="55"/>
        <v>0</v>
      </c>
      <c r="CW29" s="175">
        <f t="shared" si="56"/>
        <v>25</v>
      </c>
      <c r="CX29" s="153">
        <f t="shared" si="57"/>
        <v>0</v>
      </c>
      <c r="CY29" s="153">
        <f t="shared" si="58"/>
        <v>0</v>
      </c>
      <c r="CZ29" s="153">
        <f t="shared" si="59"/>
        <v>0</v>
      </c>
      <c r="DA29" s="153">
        <f t="shared" si="60"/>
        <v>0</v>
      </c>
      <c r="DB29" s="184">
        <f t="shared" si="61"/>
        <v>0</v>
      </c>
      <c r="DC29" s="167">
        <f t="shared" si="62"/>
        <v>25</v>
      </c>
      <c r="DD29" s="167" t="str">
        <f t="shared" si="63"/>
        <v>Final Exam</v>
      </c>
      <c r="DE29" s="157" t="str">
        <f t="shared" si="64"/>
        <v xml:space="preserve"> </v>
      </c>
      <c r="DF29" s="157">
        <f t="shared" si="65"/>
        <v>0</v>
      </c>
    </row>
    <row r="30" spans="2:110" s="113" customFormat="1" ht="26.25" customHeight="1" x14ac:dyDescent="0.2">
      <c r="D30" s="141" t="s">
        <v>159</v>
      </c>
      <c r="E30" s="142">
        <v>2</v>
      </c>
      <c r="G30" s="60">
        <v>24</v>
      </c>
      <c r="H30" s="66"/>
      <c r="I30" s="63"/>
      <c r="J30" s="97"/>
      <c r="K30" s="102"/>
      <c r="L30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0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0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0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0" s="40"/>
      <c r="Q30" s="41"/>
      <c r="R30" s="41"/>
      <c r="S30" s="41"/>
      <c r="T30" s="41"/>
      <c r="U30" s="42"/>
      <c r="V30" s="43"/>
      <c r="W30" s="41"/>
      <c r="X30" s="41"/>
      <c r="Y30" s="41"/>
      <c r="Z30" s="41"/>
      <c r="AA30" s="42"/>
      <c r="AB30" s="44"/>
      <c r="AC30" s="73"/>
      <c r="AD30" s="43"/>
      <c r="AE30" s="43"/>
      <c r="AF30" s="43"/>
      <c r="AG30" s="41"/>
      <c r="AH30" s="41"/>
      <c r="AI30" s="42"/>
      <c r="AJ30" s="43"/>
      <c r="AK30" s="43"/>
      <c r="AL30" s="43"/>
      <c r="AM30" s="41"/>
      <c r="AN30" s="41"/>
      <c r="AO30" s="41"/>
      <c r="AP30" s="44"/>
      <c r="AQ30" s="73"/>
      <c r="AR30" s="150"/>
      <c r="AS30" s="157">
        <f t="shared" si="0"/>
        <v>0</v>
      </c>
      <c r="AT30" s="161">
        <f t="shared" si="1"/>
        <v>0.3</v>
      </c>
      <c r="AU30" s="161">
        <f t="shared" si="2"/>
        <v>0.4</v>
      </c>
      <c r="AV30" s="161">
        <f t="shared" si="3"/>
        <v>0.3</v>
      </c>
      <c r="AW30" s="161" t="str">
        <f t="shared" si="4"/>
        <v xml:space="preserve"> </v>
      </c>
      <c r="AX30" s="161">
        <f t="shared" si="5"/>
        <v>0.3</v>
      </c>
      <c r="AY30" s="161">
        <f t="shared" si="6"/>
        <v>0.4</v>
      </c>
      <c r="AZ30" s="161">
        <f t="shared" si="7"/>
        <v>0.15</v>
      </c>
      <c r="BA30" s="161">
        <f t="shared" si="8"/>
        <v>0.15</v>
      </c>
      <c r="BB30" s="161" t="str">
        <f t="shared" si="9"/>
        <v xml:space="preserve"> </v>
      </c>
      <c r="BC30" s="157" t="str">
        <f t="shared" si="10"/>
        <v>LO1</v>
      </c>
      <c r="BD30" s="157" t="str">
        <f t="shared" si="11"/>
        <v>Q1</v>
      </c>
      <c r="BE30" s="157">
        <f t="shared" si="12"/>
        <v>0</v>
      </c>
      <c r="BF30" s="157">
        <f t="shared" si="13"/>
        <v>0</v>
      </c>
      <c r="BG30" s="157">
        <f t="shared" si="14"/>
        <v>0</v>
      </c>
      <c r="BH30" s="157">
        <f t="shared" si="15"/>
        <v>0</v>
      </c>
      <c r="BI30" s="157">
        <f t="shared" si="16"/>
        <v>25</v>
      </c>
      <c r="BJ30" s="157">
        <f t="shared" si="17"/>
        <v>20</v>
      </c>
      <c r="BK30" s="157">
        <f t="shared" si="18"/>
        <v>0</v>
      </c>
      <c r="BL30" s="157">
        <f t="shared" si="19"/>
        <v>0</v>
      </c>
      <c r="BM30" s="157">
        <f t="shared" si="20"/>
        <v>0</v>
      </c>
      <c r="BN30" s="157">
        <f t="shared" si="21"/>
        <v>0</v>
      </c>
      <c r="BO30" s="167" t="str">
        <f t="shared" si="22"/>
        <v>P1</v>
      </c>
      <c r="BP30" s="167" t="str">
        <f t="shared" si="23"/>
        <v>P2</v>
      </c>
      <c r="BQ30" s="167" t="str">
        <f t="shared" si="24"/>
        <v>CV</v>
      </c>
      <c r="BR30" s="167" t="str">
        <f t="shared" si="25"/>
        <v>CP</v>
      </c>
      <c r="BS30" s="167">
        <f t="shared" si="26"/>
        <v>0</v>
      </c>
      <c r="BT30" s="167">
        <f t="shared" si="27"/>
        <v>0</v>
      </c>
      <c r="BU30" s="167">
        <f t="shared" si="28"/>
        <v>25</v>
      </c>
      <c r="BV30" s="167">
        <f t="shared" si="29"/>
        <v>25</v>
      </c>
      <c r="BW30" s="167">
        <f t="shared" si="30"/>
        <v>0</v>
      </c>
      <c r="BX30" s="167">
        <f t="shared" si="31"/>
        <v>0</v>
      </c>
      <c r="BY30" s="167">
        <f t="shared" si="32"/>
        <v>0</v>
      </c>
      <c r="BZ30" s="167">
        <f t="shared" si="33"/>
        <v>0</v>
      </c>
      <c r="CA30" s="157" t="str">
        <f t="shared" si="34"/>
        <v>Midterm Exam</v>
      </c>
      <c r="CB30" s="157">
        <f t="shared" si="35"/>
        <v>40</v>
      </c>
      <c r="CC30" s="157">
        <f t="shared" si="36"/>
        <v>0</v>
      </c>
      <c r="CD30" s="157" t="str">
        <f t="shared" si="37"/>
        <v xml:space="preserve"> </v>
      </c>
      <c r="CE30" s="174" t="str">
        <f t="shared" si="38"/>
        <v>LO2</v>
      </c>
      <c r="CF30" s="175">
        <f t="shared" si="39"/>
        <v>0</v>
      </c>
      <c r="CG30" s="175">
        <f t="shared" si="40"/>
        <v>0</v>
      </c>
      <c r="CH30" s="175">
        <f t="shared" si="41"/>
        <v>0</v>
      </c>
      <c r="CI30" s="175">
        <f t="shared" si="42"/>
        <v>0</v>
      </c>
      <c r="CJ30" s="175">
        <f t="shared" si="43"/>
        <v>0</v>
      </c>
      <c r="CK30" s="175">
        <f t="shared" si="44"/>
        <v>25</v>
      </c>
      <c r="CL30" s="175">
        <f t="shared" si="45"/>
        <v>0</v>
      </c>
      <c r="CM30" s="175">
        <f t="shared" si="46"/>
        <v>0</v>
      </c>
      <c r="CN30" s="175">
        <f t="shared" si="47"/>
        <v>0</v>
      </c>
      <c r="CO30" s="153">
        <f t="shared" si="48"/>
        <v>0</v>
      </c>
      <c r="CP30" s="153">
        <f t="shared" si="49"/>
        <v>0</v>
      </c>
      <c r="CQ30" s="175" t="str">
        <f t="shared" si="50"/>
        <v>P3</v>
      </c>
      <c r="CR30" s="175">
        <f t="shared" si="51"/>
        <v>0</v>
      </c>
      <c r="CS30" s="175" t="str">
        <f t="shared" si="52"/>
        <v>LS</v>
      </c>
      <c r="CT30" s="175" t="str">
        <f t="shared" si="53"/>
        <v>B</v>
      </c>
      <c r="CU30" s="175">
        <f t="shared" si="54"/>
        <v>0</v>
      </c>
      <c r="CV30" s="175">
        <f t="shared" si="55"/>
        <v>0</v>
      </c>
      <c r="CW30" s="175">
        <f t="shared" si="56"/>
        <v>25</v>
      </c>
      <c r="CX30" s="153">
        <f t="shared" si="57"/>
        <v>0</v>
      </c>
      <c r="CY30" s="153">
        <f t="shared" si="58"/>
        <v>0</v>
      </c>
      <c r="CZ30" s="153">
        <f t="shared" si="59"/>
        <v>0</v>
      </c>
      <c r="DA30" s="153">
        <f t="shared" si="60"/>
        <v>0</v>
      </c>
      <c r="DB30" s="184">
        <f t="shared" si="61"/>
        <v>0</v>
      </c>
      <c r="DC30" s="167">
        <f t="shared" si="62"/>
        <v>25</v>
      </c>
      <c r="DD30" s="167" t="str">
        <f t="shared" si="63"/>
        <v>Final Exam</v>
      </c>
      <c r="DE30" s="157" t="str">
        <f t="shared" si="64"/>
        <v xml:space="preserve"> </v>
      </c>
      <c r="DF30" s="157">
        <f t="shared" si="65"/>
        <v>0</v>
      </c>
    </row>
    <row r="31" spans="2:110" s="113" customFormat="1" ht="26.25" customHeight="1" thickBot="1" x14ac:dyDescent="0.25">
      <c r="D31" s="141" t="s">
        <v>160</v>
      </c>
      <c r="E31" s="141">
        <v>2.5</v>
      </c>
      <c r="G31" s="92">
        <v>25</v>
      </c>
      <c r="H31" s="83"/>
      <c r="I31" s="84"/>
      <c r="J31" s="98"/>
      <c r="K31" s="103"/>
      <c r="L31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1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1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1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1" s="85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7"/>
      <c r="AB31" s="89"/>
      <c r="AC31" s="90"/>
      <c r="AD31" s="88"/>
      <c r="AE31" s="88"/>
      <c r="AF31" s="88"/>
      <c r="AG31" s="86"/>
      <c r="AH31" s="86"/>
      <c r="AI31" s="87"/>
      <c r="AJ31" s="88"/>
      <c r="AK31" s="88"/>
      <c r="AL31" s="88"/>
      <c r="AM31" s="86"/>
      <c r="AN31" s="86"/>
      <c r="AO31" s="86"/>
      <c r="AP31" s="89"/>
      <c r="AQ31" s="90"/>
      <c r="AR31" s="151"/>
      <c r="AS31" s="158">
        <f t="shared" si="0"/>
        <v>0</v>
      </c>
      <c r="AT31" s="165">
        <f t="shared" si="1"/>
        <v>0.3</v>
      </c>
      <c r="AU31" s="165">
        <f t="shared" si="2"/>
        <v>0.4</v>
      </c>
      <c r="AV31" s="165">
        <f t="shared" si="3"/>
        <v>0.3</v>
      </c>
      <c r="AW31" s="165" t="str">
        <f t="shared" si="4"/>
        <v xml:space="preserve"> </v>
      </c>
      <c r="AX31" s="165">
        <f t="shared" si="5"/>
        <v>0.3</v>
      </c>
      <c r="AY31" s="165">
        <f t="shared" si="6"/>
        <v>0.4</v>
      </c>
      <c r="AZ31" s="165">
        <f t="shared" si="7"/>
        <v>0.15</v>
      </c>
      <c r="BA31" s="165">
        <f t="shared" si="8"/>
        <v>0.15</v>
      </c>
      <c r="BB31" s="165" t="str">
        <f t="shared" si="9"/>
        <v xml:space="preserve"> </v>
      </c>
      <c r="BC31" s="158" t="str">
        <f t="shared" si="10"/>
        <v>LO1</v>
      </c>
      <c r="BD31" s="158" t="str">
        <f t="shared" si="11"/>
        <v>Q1</v>
      </c>
      <c r="BE31" s="158">
        <f t="shared" si="12"/>
        <v>0</v>
      </c>
      <c r="BF31" s="158">
        <f t="shared" si="13"/>
        <v>0</v>
      </c>
      <c r="BG31" s="158">
        <f t="shared" si="14"/>
        <v>0</v>
      </c>
      <c r="BH31" s="158">
        <f t="shared" si="15"/>
        <v>0</v>
      </c>
      <c r="BI31" s="158">
        <f t="shared" si="16"/>
        <v>25</v>
      </c>
      <c r="BJ31" s="158">
        <f t="shared" si="17"/>
        <v>20</v>
      </c>
      <c r="BK31" s="158">
        <f t="shared" si="18"/>
        <v>0</v>
      </c>
      <c r="BL31" s="158">
        <f t="shared" si="19"/>
        <v>0</v>
      </c>
      <c r="BM31" s="158">
        <f t="shared" si="20"/>
        <v>0</v>
      </c>
      <c r="BN31" s="158">
        <f t="shared" si="21"/>
        <v>0</v>
      </c>
      <c r="BO31" s="168" t="str">
        <f t="shared" si="22"/>
        <v>P1</v>
      </c>
      <c r="BP31" s="168" t="str">
        <f t="shared" si="23"/>
        <v>P2</v>
      </c>
      <c r="BQ31" s="168" t="str">
        <f t="shared" si="24"/>
        <v>CV</v>
      </c>
      <c r="BR31" s="168" t="str">
        <f t="shared" si="25"/>
        <v>CP</v>
      </c>
      <c r="BS31" s="168">
        <f t="shared" si="26"/>
        <v>0</v>
      </c>
      <c r="BT31" s="168">
        <f t="shared" si="27"/>
        <v>0</v>
      </c>
      <c r="BU31" s="168">
        <f t="shared" si="28"/>
        <v>25</v>
      </c>
      <c r="BV31" s="168">
        <f t="shared" si="29"/>
        <v>25</v>
      </c>
      <c r="BW31" s="168">
        <f t="shared" si="30"/>
        <v>0</v>
      </c>
      <c r="BX31" s="168">
        <f t="shared" si="31"/>
        <v>0</v>
      </c>
      <c r="BY31" s="168">
        <f t="shared" si="32"/>
        <v>0</v>
      </c>
      <c r="BZ31" s="168">
        <f t="shared" si="33"/>
        <v>0</v>
      </c>
      <c r="CA31" s="158" t="str">
        <f t="shared" si="34"/>
        <v>Midterm Exam</v>
      </c>
      <c r="CB31" s="158">
        <f t="shared" si="35"/>
        <v>40</v>
      </c>
      <c r="CC31" s="158">
        <f t="shared" si="36"/>
        <v>0</v>
      </c>
      <c r="CD31" s="158" t="str">
        <f t="shared" si="37"/>
        <v xml:space="preserve"> </v>
      </c>
      <c r="CE31" s="176" t="str">
        <f t="shared" si="38"/>
        <v>LO2</v>
      </c>
      <c r="CF31" s="177">
        <f t="shared" si="39"/>
        <v>0</v>
      </c>
      <c r="CG31" s="177">
        <f t="shared" si="40"/>
        <v>0</v>
      </c>
      <c r="CH31" s="177">
        <f t="shared" si="41"/>
        <v>0</v>
      </c>
      <c r="CI31" s="177">
        <f t="shared" si="42"/>
        <v>0</v>
      </c>
      <c r="CJ31" s="177">
        <f t="shared" si="43"/>
        <v>0</v>
      </c>
      <c r="CK31" s="177">
        <f t="shared" si="44"/>
        <v>25</v>
      </c>
      <c r="CL31" s="177">
        <f t="shared" si="45"/>
        <v>0</v>
      </c>
      <c r="CM31" s="177">
        <f t="shared" si="46"/>
        <v>0</v>
      </c>
      <c r="CN31" s="177">
        <f t="shared" si="47"/>
        <v>0</v>
      </c>
      <c r="CO31" s="178">
        <f t="shared" si="48"/>
        <v>0</v>
      </c>
      <c r="CP31" s="178">
        <f t="shared" si="49"/>
        <v>0</v>
      </c>
      <c r="CQ31" s="177" t="str">
        <f t="shared" si="50"/>
        <v>P3</v>
      </c>
      <c r="CR31" s="177">
        <f t="shared" si="51"/>
        <v>0</v>
      </c>
      <c r="CS31" s="177" t="str">
        <f t="shared" si="52"/>
        <v>LS</v>
      </c>
      <c r="CT31" s="177" t="str">
        <f t="shared" si="53"/>
        <v>B</v>
      </c>
      <c r="CU31" s="177">
        <f t="shared" si="54"/>
        <v>0</v>
      </c>
      <c r="CV31" s="177">
        <f t="shared" si="55"/>
        <v>0</v>
      </c>
      <c r="CW31" s="177">
        <f t="shared" si="56"/>
        <v>25</v>
      </c>
      <c r="CX31" s="178">
        <f t="shared" si="57"/>
        <v>0</v>
      </c>
      <c r="CY31" s="178">
        <f t="shared" si="58"/>
        <v>0</v>
      </c>
      <c r="CZ31" s="178">
        <f t="shared" si="59"/>
        <v>0</v>
      </c>
      <c r="DA31" s="178">
        <f t="shared" si="60"/>
        <v>0</v>
      </c>
      <c r="DB31" s="185">
        <f t="shared" si="61"/>
        <v>0</v>
      </c>
      <c r="DC31" s="168">
        <f t="shared" si="62"/>
        <v>25</v>
      </c>
      <c r="DD31" s="168" t="str">
        <f t="shared" si="63"/>
        <v>Final Exam</v>
      </c>
      <c r="DE31" s="158" t="str">
        <f t="shared" si="64"/>
        <v xml:space="preserve"> </v>
      </c>
      <c r="DF31" s="158">
        <f t="shared" si="65"/>
        <v>0</v>
      </c>
    </row>
    <row r="32" spans="2:110" s="113" customFormat="1" ht="26.25" customHeight="1" thickTop="1" x14ac:dyDescent="0.2">
      <c r="B32" s="112" t="str">
        <f>'Cover Page'!M15</f>
        <v>JENNIFER D. REGALA</v>
      </c>
      <c r="D32" s="141" t="s">
        <v>161</v>
      </c>
      <c r="E32" s="142">
        <v>3</v>
      </c>
      <c r="G32" s="131">
        <v>26</v>
      </c>
      <c r="H32" s="75"/>
      <c r="I32" s="76"/>
      <c r="J32" s="99"/>
      <c r="K32" s="104"/>
      <c r="L32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2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2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2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2" s="77"/>
      <c r="Q32" s="78"/>
      <c r="R32" s="78"/>
      <c r="S32" s="78"/>
      <c r="T32" s="78"/>
      <c r="U32" s="79"/>
      <c r="V32" s="80"/>
      <c r="W32" s="78"/>
      <c r="X32" s="78"/>
      <c r="Y32" s="78"/>
      <c r="Z32" s="78"/>
      <c r="AA32" s="79"/>
      <c r="AB32" s="81"/>
      <c r="AC32" s="82"/>
      <c r="AD32" s="80"/>
      <c r="AE32" s="80"/>
      <c r="AF32" s="80"/>
      <c r="AG32" s="78"/>
      <c r="AH32" s="78"/>
      <c r="AI32" s="79"/>
      <c r="AJ32" s="80"/>
      <c r="AK32" s="80"/>
      <c r="AL32" s="80"/>
      <c r="AM32" s="78"/>
      <c r="AN32" s="78"/>
      <c r="AO32" s="78"/>
      <c r="AP32" s="81"/>
      <c r="AQ32" s="82"/>
      <c r="AR32" s="149"/>
      <c r="AS32" s="159">
        <f t="shared" si="0"/>
        <v>0</v>
      </c>
      <c r="AT32" s="162">
        <f t="shared" si="1"/>
        <v>0.3</v>
      </c>
      <c r="AU32" s="162">
        <f t="shared" si="2"/>
        <v>0.4</v>
      </c>
      <c r="AV32" s="162">
        <f t="shared" si="3"/>
        <v>0.3</v>
      </c>
      <c r="AW32" s="162" t="str">
        <f t="shared" si="4"/>
        <v xml:space="preserve"> </v>
      </c>
      <c r="AX32" s="162">
        <f t="shared" si="5"/>
        <v>0.3</v>
      </c>
      <c r="AY32" s="162">
        <f t="shared" si="6"/>
        <v>0.4</v>
      </c>
      <c r="AZ32" s="162">
        <f t="shared" si="7"/>
        <v>0.15</v>
      </c>
      <c r="BA32" s="162">
        <f t="shared" si="8"/>
        <v>0.15</v>
      </c>
      <c r="BB32" s="162" t="str">
        <f t="shared" si="9"/>
        <v xml:space="preserve"> </v>
      </c>
      <c r="BC32" s="159" t="str">
        <f t="shared" si="10"/>
        <v>LO1</v>
      </c>
      <c r="BD32" s="159" t="str">
        <f t="shared" si="11"/>
        <v>Q1</v>
      </c>
      <c r="BE32" s="159">
        <f t="shared" si="12"/>
        <v>0</v>
      </c>
      <c r="BF32" s="159">
        <f t="shared" si="13"/>
        <v>0</v>
      </c>
      <c r="BG32" s="159">
        <f t="shared" si="14"/>
        <v>0</v>
      </c>
      <c r="BH32" s="159">
        <f t="shared" si="15"/>
        <v>0</v>
      </c>
      <c r="BI32" s="159">
        <f t="shared" si="16"/>
        <v>25</v>
      </c>
      <c r="BJ32" s="159">
        <f t="shared" si="17"/>
        <v>20</v>
      </c>
      <c r="BK32" s="159">
        <f t="shared" si="18"/>
        <v>0</v>
      </c>
      <c r="BL32" s="159">
        <f t="shared" si="19"/>
        <v>0</v>
      </c>
      <c r="BM32" s="159">
        <f t="shared" si="20"/>
        <v>0</v>
      </c>
      <c r="BN32" s="159">
        <f t="shared" si="21"/>
        <v>0</v>
      </c>
      <c r="BO32" s="169" t="str">
        <f t="shared" si="22"/>
        <v>P1</v>
      </c>
      <c r="BP32" s="169" t="str">
        <f t="shared" si="23"/>
        <v>P2</v>
      </c>
      <c r="BQ32" s="169" t="str">
        <f t="shared" si="24"/>
        <v>CV</v>
      </c>
      <c r="BR32" s="169" t="str">
        <f t="shared" si="25"/>
        <v>CP</v>
      </c>
      <c r="BS32" s="169">
        <f t="shared" si="26"/>
        <v>0</v>
      </c>
      <c r="BT32" s="169">
        <f t="shared" si="27"/>
        <v>0</v>
      </c>
      <c r="BU32" s="169">
        <f t="shared" si="28"/>
        <v>25</v>
      </c>
      <c r="BV32" s="169">
        <f t="shared" si="29"/>
        <v>25</v>
      </c>
      <c r="BW32" s="169">
        <f t="shared" si="30"/>
        <v>0</v>
      </c>
      <c r="BX32" s="169">
        <f t="shared" si="31"/>
        <v>0</v>
      </c>
      <c r="BY32" s="169">
        <f t="shared" si="32"/>
        <v>0</v>
      </c>
      <c r="BZ32" s="169">
        <f t="shared" si="33"/>
        <v>0</v>
      </c>
      <c r="CA32" s="159" t="str">
        <f t="shared" si="34"/>
        <v>Midterm Exam</v>
      </c>
      <c r="CB32" s="159">
        <f t="shared" si="35"/>
        <v>40</v>
      </c>
      <c r="CC32" s="159">
        <f t="shared" si="36"/>
        <v>0</v>
      </c>
      <c r="CD32" s="159" t="str">
        <f t="shared" si="37"/>
        <v xml:space="preserve"> </v>
      </c>
      <c r="CE32" s="179" t="str">
        <f t="shared" si="38"/>
        <v>LO2</v>
      </c>
      <c r="CF32" s="180">
        <f t="shared" si="39"/>
        <v>0</v>
      </c>
      <c r="CG32" s="180">
        <f t="shared" si="40"/>
        <v>0</v>
      </c>
      <c r="CH32" s="180">
        <f t="shared" si="41"/>
        <v>0</v>
      </c>
      <c r="CI32" s="180">
        <f t="shared" si="42"/>
        <v>0</v>
      </c>
      <c r="CJ32" s="180">
        <f t="shared" si="43"/>
        <v>0</v>
      </c>
      <c r="CK32" s="180">
        <f t="shared" si="44"/>
        <v>25</v>
      </c>
      <c r="CL32" s="180">
        <f t="shared" si="45"/>
        <v>0</v>
      </c>
      <c r="CM32" s="180">
        <f t="shared" si="46"/>
        <v>0</v>
      </c>
      <c r="CN32" s="180">
        <f t="shared" si="47"/>
        <v>0</v>
      </c>
      <c r="CO32" s="154">
        <f t="shared" si="48"/>
        <v>0</v>
      </c>
      <c r="CP32" s="154">
        <f t="shared" si="49"/>
        <v>0</v>
      </c>
      <c r="CQ32" s="180" t="str">
        <f t="shared" si="50"/>
        <v>P3</v>
      </c>
      <c r="CR32" s="180">
        <f t="shared" si="51"/>
        <v>0</v>
      </c>
      <c r="CS32" s="180" t="str">
        <f t="shared" si="52"/>
        <v>LS</v>
      </c>
      <c r="CT32" s="180" t="str">
        <f t="shared" si="53"/>
        <v>B</v>
      </c>
      <c r="CU32" s="180">
        <f t="shared" si="54"/>
        <v>0</v>
      </c>
      <c r="CV32" s="180">
        <f t="shared" si="55"/>
        <v>0</v>
      </c>
      <c r="CW32" s="180">
        <f t="shared" si="56"/>
        <v>25</v>
      </c>
      <c r="CX32" s="154">
        <f t="shared" si="57"/>
        <v>0</v>
      </c>
      <c r="CY32" s="154">
        <f t="shared" si="58"/>
        <v>0</v>
      </c>
      <c r="CZ32" s="154">
        <f t="shared" si="59"/>
        <v>0</v>
      </c>
      <c r="DA32" s="154">
        <f t="shared" si="60"/>
        <v>0</v>
      </c>
      <c r="DB32" s="186">
        <f t="shared" si="61"/>
        <v>0</v>
      </c>
      <c r="DC32" s="169">
        <f t="shared" si="62"/>
        <v>25</v>
      </c>
      <c r="DD32" s="169" t="str">
        <f t="shared" si="63"/>
        <v>Final Exam</v>
      </c>
      <c r="DE32" s="159" t="str">
        <f t="shared" si="64"/>
        <v xml:space="preserve"> </v>
      </c>
      <c r="DF32" s="159">
        <f t="shared" si="65"/>
        <v>0</v>
      </c>
    </row>
    <row r="33" spans="2:110" s="113" customFormat="1" ht="26.25" customHeight="1" x14ac:dyDescent="0.2">
      <c r="B33" s="143" t="s">
        <v>162</v>
      </c>
      <c r="D33" s="141" t="s">
        <v>163</v>
      </c>
      <c r="E33" s="141">
        <v>3.5</v>
      </c>
      <c r="G33" s="60">
        <v>27</v>
      </c>
      <c r="H33" s="66"/>
      <c r="I33" s="63"/>
      <c r="J33" s="97"/>
      <c r="K33" s="102"/>
      <c r="L33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3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3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3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3" s="40"/>
      <c r="Q33" s="41"/>
      <c r="R33" s="41"/>
      <c r="S33" s="41"/>
      <c r="T33" s="41"/>
      <c r="U33" s="42"/>
      <c r="V33" s="43"/>
      <c r="W33" s="41"/>
      <c r="X33" s="41"/>
      <c r="Y33" s="41"/>
      <c r="Z33" s="41"/>
      <c r="AA33" s="42"/>
      <c r="AB33" s="44"/>
      <c r="AC33" s="73"/>
      <c r="AD33" s="43"/>
      <c r="AE33" s="43"/>
      <c r="AF33" s="43"/>
      <c r="AG33" s="41"/>
      <c r="AH33" s="41"/>
      <c r="AI33" s="42"/>
      <c r="AJ33" s="43"/>
      <c r="AK33" s="43"/>
      <c r="AL33" s="43"/>
      <c r="AM33" s="41"/>
      <c r="AN33" s="41"/>
      <c r="AO33" s="41"/>
      <c r="AP33" s="44"/>
      <c r="AQ33" s="73"/>
      <c r="AR33" s="150"/>
      <c r="AS33" s="157">
        <f t="shared" si="0"/>
        <v>0</v>
      </c>
      <c r="AT33" s="161">
        <f t="shared" si="1"/>
        <v>0.3</v>
      </c>
      <c r="AU33" s="161">
        <f t="shared" si="2"/>
        <v>0.4</v>
      </c>
      <c r="AV33" s="161">
        <f t="shared" si="3"/>
        <v>0.3</v>
      </c>
      <c r="AW33" s="161" t="str">
        <f t="shared" si="4"/>
        <v xml:space="preserve"> </v>
      </c>
      <c r="AX33" s="161">
        <f t="shared" si="5"/>
        <v>0.3</v>
      </c>
      <c r="AY33" s="161">
        <f t="shared" si="6"/>
        <v>0.4</v>
      </c>
      <c r="AZ33" s="161">
        <f t="shared" si="7"/>
        <v>0.15</v>
      </c>
      <c r="BA33" s="161">
        <f t="shared" si="8"/>
        <v>0.15</v>
      </c>
      <c r="BB33" s="161" t="str">
        <f t="shared" si="9"/>
        <v xml:space="preserve"> </v>
      </c>
      <c r="BC33" s="157" t="str">
        <f t="shared" si="10"/>
        <v>LO1</v>
      </c>
      <c r="BD33" s="157" t="str">
        <f t="shared" si="11"/>
        <v>Q1</v>
      </c>
      <c r="BE33" s="157">
        <f t="shared" si="12"/>
        <v>0</v>
      </c>
      <c r="BF33" s="157">
        <f t="shared" si="13"/>
        <v>0</v>
      </c>
      <c r="BG33" s="157">
        <f t="shared" si="14"/>
        <v>0</v>
      </c>
      <c r="BH33" s="157">
        <f t="shared" si="15"/>
        <v>0</v>
      </c>
      <c r="BI33" s="157">
        <f t="shared" si="16"/>
        <v>25</v>
      </c>
      <c r="BJ33" s="157">
        <f t="shared" si="17"/>
        <v>20</v>
      </c>
      <c r="BK33" s="157">
        <f t="shared" si="18"/>
        <v>0</v>
      </c>
      <c r="BL33" s="157">
        <f t="shared" si="19"/>
        <v>0</v>
      </c>
      <c r="BM33" s="157">
        <f t="shared" si="20"/>
        <v>0</v>
      </c>
      <c r="BN33" s="157">
        <f t="shared" si="21"/>
        <v>0</v>
      </c>
      <c r="BO33" s="167" t="str">
        <f t="shared" si="22"/>
        <v>P1</v>
      </c>
      <c r="BP33" s="167" t="str">
        <f t="shared" si="23"/>
        <v>P2</v>
      </c>
      <c r="BQ33" s="167" t="str">
        <f t="shared" si="24"/>
        <v>CV</v>
      </c>
      <c r="BR33" s="167" t="str">
        <f t="shared" si="25"/>
        <v>CP</v>
      </c>
      <c r="BS33" s="167">
        <f t="shared" si="26"/>
        <v>0</v>
      </c>
      <c r="BT33" s="167">
        <f t="shared" si="27"/>
        <v>0</v>
      </c>
      <c r="BU33" s="167">
        <f t="shared" si="28"/>
        <v>25</v>
      </c>
      <c r="BV33" s="167">
        <f t="shared" si="29"/>
        <v>25</v>
      </c>
      <c r="BW33" s="167">
        <f t="shared" si="30"/>
        <v>0</v>
      </c>
      <c r="BX33" s="167">
        <f t="shared" si="31"/>
        <v>0</v>
      </c>
      <c r="BY33" s="167">
        <f t="shared" si="32"/>
        <v>0</v>
      </c>
      <c r="BZ33" s="167">
        <f t="shared" si="33"/>
        <v>0</v>
      </c>
      <c r="CA33" s="157" t="str">
        <f t="shared" si="34"/>
        <v>Midterm Exam</v>
      </c>
      <c r="CB33" s="157">
        <f t="shared" si="35"/>
        <v>40</v>
      </c>
      <c r="CC33" s="157">
        <f t="shared" si="36"/>
        <v>0</v>
      </c>
      <c r="CD33" s="157" t="str">
        <f t="shared" si="37"/>
        <v xml:space="preserve"> </v>
      </c>
      <c r="CE33" s="174" t="str">
        <f t="shared" si="38"/>
        <v>LO2</v>
      </c>
      <c r="CF33" s="175">
        <f t="shared" si="39"/>
        <v>0</v>
      </c>
      <c r="CG33" s="175">
        <f t="shared" si="40"/>
        <v>0</v>
      </c>
      <c r="CH33" s="175">
        <f t="shared" si="41"/>
        <v>0</v>
      </c>
      <c r="CI33" s="175">
        <f t="shared" si="42"/>
        <v>0</v>
      </c>
      <c r="CJ33" s="175">
        <f t="shared" si="43"/>
        <v>0</v>
      </c>
      <c r="CK33" s="175">
        <f t="shared" si="44"/>
        <v>25</v>
      </c>
      <c r="CL33" s="175">
        <f t="shared" si="45"/>
        <v>0</v>
      </c>
      <c r="CM33" s="175">
        <f t="shared" si="46"/>
        <v>0</v>
      </c>
      <c r="CN33" s="175">
        <f t="shared" si="47"/>
        <v>0</v>
      </c>
      <c r="CO33" s="153">
        <f t="shared" si="48"/>
        <v>0</v>
      </c>
      <c r="CP33" s="153">
        <f t="shared" si="49"/>
        <v>0</v>
      </c>
      <c r="CQ33" s="175" t="str">
        <f t="shared" si="50"/>
        <v>P3</v>
      </c>
      <c r="CR33" s="175">
        <f t="shared" si="51"/>
        <v>0</v>
      </c>
      <c r="CS33" s="175" t="str">
        <f t="shared" si="52"/>
        <v>LS</v>
      </c>
      <c r="CT33" s="175" t="str">
        <f t="shared" si="53"/>
        <v>B</v>
      </c>
      <c r="CU33" s="175">
        <f t="shared" si="54"/>
        <v>0</v>
      </c>
      <c r="CV33" s="175">
        <f t="shared" si="55"/>
        <v>0</v>
      </c>
      <c r="CW33" s="175">
        <f t="shared" si="56"/>
        <v>25</v>
      </c>
      <c r="CX33" s="153">
        <f t="shared" si="57"/>
        <v>0</v>
      </c>
      <c r="CY33" s="153">
        <f t="shared" si="58"/>
        <v>0</v>
      </c>
      <c r="CZ33" s="153">
        <f t="shared" si="59"/>
        <v>0</v>
      </c>
      <c r="DA33" s="153">
        <f t="shared" si="60"/>
        <v>0</v>
      </c>
      <c r="DB33" s="184">
        <f t="shared" si="61"/>
        <v>0</v>
      </c>
      <c r="DC33" s="167">
        <f t="shared" si="62"/>
        <v>25</v>
      </c>
      <c r="DD33" s="167" t="str">
        <f t="shared" si="63"/>
        <v>Final Exam</v>
      </c>
      <c r="DE33" s="157" t="str">
        <f t="shared" si="64"/>
        <v xml:space="preserve"> </v>
      </c>
      <c r="DF33" s="157">
        <f t="shared" si="65"/>
        <v>0</v>
      </c>
    </row>
    <row r="34" spans="2:110" s="113" customFormat="1" ht="26.25" customHeight="1" thickBot="1" x14ac:dyDescent="0.25">
      <c r="D34" s="144" t="s">
        <v>164</v>
      </c>
      <c r="E34" s="145">
        <v>4</v>
      </c>
      <c r="G34" s="60">
        <v>28</v>
      </c>
      <c r="H34" s="66"/>
      <c r="I34" s="63"/>
      <c r="J34" s="97"/>
      <c r="K34" s="102"/>
      <c r="L34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4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4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4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4" s="40"/>
      <c r="Q34" s="41"/>
      <c r="R34" s="41"/>
      <c r="S34" s="41"/>
      <c r="T34" s="41"/>
      <c r="U34" s="42"/>
      <c r="V34" s="43"/>
      <c r="W34" s="41"/>
      <c r="X34" s="41"/>
      <c r="Y34" s="41"/>
      <c r="Z34" s="41"/>
      <c r="AA34" s="42"/>
      <c r="AB34" s="44"/>
      <c r="AC34" s="73"/>
      <c r="AD34" s="43"/>
      <c r="AE34" s="43"/>
      <c r="AF34" s="43"/>
      <c r="AG34" s="41"/>
      <c r="AH34" s="41"/>
      <c r="AI34" s="42"/>
      <c r="AJ34" s="43"/>
      <c r="AK34" s="43"/>
      <c r="AL34" s="43"/>
      <c r="AM34" s="41"/>
      <c r="AN34" s="41"/>
      <c r="AO34" s="41"/>
      <c r="AP34" s="44"/>
      <c r="AQ34" s="73"/>
      <c r="AR34" s="150"/>
      <c r="AS34" s="157">
        <f t="shared" si="0"/>
        <v>0</v>
      </c>
      <c r="AT34" s="161">
        <f t="shared" si="1"/>
        <v>0.3</v>
      </c>
      <c r="AU34" s="161">
        <f t="shared" si="2"/>
        <v>0.4</v>
      </c>
      <c r="AV34" s="161">
        <f t="shared" si="3"/>
        <v>0.3</v>
      </c>
      <c r="AW34" s="161" t="str">
        <f t="shared" si="4"/>
        <v xml:space="preserve"> </v>
      </c>
      <c r="AX34" s="161">
        <f t="shared" si="5"/>
        <v>0.3</v>
      </c>
      <c r="AY34" s="161">
        <f t="shared" si="6"/>
        <v>0.4</v>
      </c>
      <c r="AZ34" s="161">
        <f t="shared" si="7"/>
        <v>0.15</v>
      </c>
      <c r="BA34" s="161">
        <f t="shared" si="8"/>
        <v>0.15</v>
      </c>
      <c r="BB34" s="161" t="str">
        <f t="shared" si="9"/>
        <v xml:space="preserve"> </v>
      </c>
      <c r="BC34" s="157" t="str">
        <f t="shared" si="10"/>
        <v>LO1</v>
      </c>
      <c r="BD34" s="157" t="str">
        <f t="shared" si="11"/>
        <v>Q1</v>
      </c>
      <c r="BE34" s="157">
        <f t="shared" si="12"/>
        <v>0</v>
      </c>
      <c r="BF34" s="157">
        <f t="shared" si="13"/>
        <v>0</v>
      </c>
      <c r="BG34" s="157">
        <f t="shared" si="14"/>
        <v>0</v>
      </c>
      <c r="BH34" s="157">
        <f t="shared" si="15"/>
        <v>0</v>
      </c>
      <c r="BI34" s="157">
        <f t="shared" si="16"/>
        <v>25</v>
      </c>
      <c r="BJ34" s="157">
        <f t="shared" si="17"/>
        <v>20</v>
      </c>
      <c r="BK34" s="157">
        <f t="shared" si="18"/>
        <v>0</v>
      </c>
      <c r="BL34" s="157">
        <f t="shared" si="19"/>
        <v>0</v>
      </c>
      <c r="BM34" s="157">
        <f t="shared" si="20"/>
        <v>0</v>
      </c>
      <c r="BN34" s="157">
        <f t="shared" si="21"/>
        <v>0</v>
      </c>
      <c r="BO34" s="167" t="str">
        <f t="shared" si="22"/>
        <v>P1</v>
      </c>
      <c r="BP34" s="167" t="str">
        <f t="shared" si="23"/>
        <v>P2</v>
      </c>
      <c r="BQ34" s="167" t="str">
        <f t="shared" si="24"/>
        <v>CV</v>
      </c>
      <c r="BR34" s="167" t="str">
        <f t="shared" si="25"/>
        <v>CP</v>
      </c>
      <c r="BS34" s="167">
        <f t="shared" si="26"/>
        <v>0</v>
      </c>
      <c r="BT34" s="167">
        <f t="shared" si="27"/>
        <v>0</v>
      </c>
      <c r="BU34" s="167">
        <f t="shared" si="28"/>
        <v>25</v>
      </c>
      <c r="BV34" s="167">
        <f t="shared" si="29"/>
        <v>25</v>
      </c>
      <c r="BW34" s="167">
        <f t="shared" si="30"/>
        <v>0</v>
      </c>
      <c r="BX34" s="167">
        <f t="shared" si="31"/>
        <v>0</v>
      </c>
      <c r="BY34" s="167">
        <f t="shared" si="32"/>
        <v>0</v>
      </c>
      <c r="BZ34" s="167">
        <f t="shared" si="33"/>
        <v>0</v>
      </c>
      <c r="CA34" s="157" t="str">
        <f t="shared" si="34"/>
        <v>Midterm Exam</v>
      </c>
      <c r="CB34" s="157">
        <f t="shared" si="35"/>
        <v>40</v>
      </c>
      <c r="CC34" s="157">
        <f t="shared" si="36"/>
        <v>0</v>
      </c>
      <c r="CD34" s="157" t="str">
        <f t="shared" si="37"/>
        <v xml:space="preserve"> </v>
      </c>
      <c r="CE34" s="174" t="str">
        <f t="shared" si="38"/>
        <v>LO2</v>
      </c>
      <c r="CF34" s="175">
        <f t="shared" si="39"/>
        <v>0</v>
      </c>
      <c r="CG34" s="175">
        <f t="shared" si="40"/>
        <v>0</v>
      </c>
      <c r="CH34" s="175">
        <f t="shared" si="41"/>
        <v>0</v>
      </c>
      <c r="CI34" s="175">
        <f t="shared" si="42"/>
        <v>0</v>
      </c>
      <c r="CJ34" s="175">
        <f t="shared" si="43"/>
        <v>0</v>
      </c>
      <c r="CK34" s="175">
        <f t="shared" si="44"/>
        <v>25</v>
      </c>
      <c r="CL34" s="175">
        <f t="shared" si="45"/>
        <v>0</v>
      </c>
      <c r="CM34" s="175">
        <f t="shared" si="46"/>
        <v>0</v>
      </c>
      <c r="CN34" s="175">
        <f t="shared" si="47"/>
        <v>0</v>
      </c>
      <c r="CO34" s="153">
        <f t="shared" si="48"/>
        <v>0</v>
      </c>
      <c r="CP34" s="153">
        <f t="shared" si="49"/>
        <v>0</v>
      </c>
      <c r="CQ34" s="175" t="str">
        <f t="shared" si="50"/>
        <v>P3</v>
      </c>
      <c r="CR34" s="175">
        <f t="shared" si="51"/>
        <v>0</v>
      </c>
      <c r="CS34" s="175" t="str">
        <f t="shared" si="52"/>
        <v>LS</v>
      </c>
      <c r="CT34" s="175" t="str">
        <f t="shared" si="53"/>
        <v>B</v>
      </c>
      <c r="CU34" s="175">
        <f t="shared" si="54"/>
        <v>0</v>
      </c>
      <c r="CV34" s="175">
        <f t="shared" si="55"/>
        <v>0</v>
      </c>
      <c r="CW34" s="175">
        <f t="shared" si="56"/>
        <v>25</v>
      </c>
      <c r="CX34" s="153">
        <f t="shared" si="57"/>
        <v>0</v>
      </c>
      <c r="CY34" s="153">
        <f t="shared" si="58"/>
        <v>0</v>
      </c>
      <c r="CZ34" s="153">
        <f t="shared" si="59"/>
        <v>0</v>
      </c>
      <c r="DA34" s="153">
        <f t="shared" si="60"/>
        <v>0</v>
      </c>
      <c r="DB34" s="184">
        <f t="shared" si="61"/>
        <v>0</v>
      </c>
      <c r="DC34" s="167">
        <f t="shared" si="62"/>
        <v>25</v>
      </c>
      <c r="DD34" s="167" t="str">
        <f t="shared" si="63"/>
        <v>Final Exam</v>
      </c>
      <c r="DE34" s="157" t="str">
        <f t="shared" si="64"/>
        <v xml:space="preserve"> </v>
      </c>
      <c r="DF34" s="157">
        <f t="shared" si="65"/>
        <v>0</v>
      </c>
    </row>
    <row r="35" spans="2:110" s="113" customFormat="1" ht="26.25" customHeight="1" x14ac:dyDescent="0.2">
      <c r="D35" s="106"/>
      <c r="E35" s="106"/>
      <c r="G35" s="60">
        <v>29</v>
      </c>
      <c r="H35" s="66"/>
      <c r="I35" s="63"/>
      <c r="J35" s="97"/>
      <c r="K35" s="102"/>
      <c r="L35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5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5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5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5" s="40"/>
      <c r="Q35" s="41"/>
      <c r="R35" s="41"/>
      <c r="S35" s="41"/>
      <c r="T35" s="41"/>
      <c r="U35" s="42"/>
      <c r="V35" s="43"/>
      <c r="W35" s="41"/>
      <c r="X35" s="41"/>
      <c r="Y35" s="41"/>
      <c r="Z35" s="41"/>
      <c r="AA35" s="42"/>
      <c r="AB35" s="44"/>
      <c r="AC35" s="73"/>
      <c r="AD35" s="43"/>
      <c r="AE35" s="43"/>
      <c r="AF35" s="43"/>
      <c r="AG35" s="41"/>
      <c r="AH35" s="41"/>
      <c r="AI35" s="42"/>
      <c r="AJ35" s="43"/>
      <c r="AK35" s="43"/>
      <c r="AL35" s="43"/>
      <c r="AM35" s="41"/>
      <c r="AN35" s="41"/>
      <c r="AO35" s="41"/>
      <c r="AP35" s="44"/>
      <c r="AQ35" s="73"/>
      <c r="AR35" s="150"/>
      <c r="AS35" s="157">
        <f t="shared" si="0"/>
        <v>0</v>
      </c>
      <c r="AT35" s="161">
        <f t="shared" si="1"/>
        <v>0.3</v>
      </c>
      <c r="AU35" s="161">
        <f t="shared" si="2"/>
        <v>0.4</v>
      </c>
      <c r="AV35" s="161">
        <f t="shared" si="3"/>
        <v>0.3</v>
      </c>
      <c r="AW35" s="161" t="str">
        <f t="shared" si="4"/>
        <v xml:space="preserve"> </v>
      </c>
      <c r="AX35" s="161">
        <f t="shared" si="5"/>
        <v>0.3</v>
      </c>
      <c r="AY35" s="161">
        <f t="shared" si="6"/>
        <v>0.4</v>
      </c>
      <c r="AZ35" s="161">
        <f t="shared" si="7"/>
        <v>0.15</v>
      </c>
      <c r="BA35" s="161">
        <f t="shared" si="8"/>
        <v>0.15</v>
      </c>
      <c r="BB35" s="161" t="str">
        <f t="shared" si="9"/>
        <v xml:space="preserve"> </v>
      </c>
      <c r="BC35" s="157" t="str">
        <f t="shared" si="10"/>
        <v>LO1</v>
      </c>
      <c r="BD35" s="157" t="str">
        <f t="shared" si="11"/>
        <v>Q1</v>
      </c>
      <c r="BE35" s="157">
        <f t="shared" si="12"/>
        <v>0</v>
      </c>
      <c r="BF35" s="157">
        <f t="shared" si="13"/>
        <v>0</v>
      </c>
      <c r="BG35" s="157">
        <f t="shared" si="14"/>
        <v>0</v>
      </c>
      <c r="BH35" s="157">
        <f t="shared" si="15"/>
        <v>0</v>
      </c>
      <c r="BI35" s="157">
        <f t="shared" si="16"/>
        <v>25</v>
      </c>
      <c r="BJ35" s="157">
        <f t="shared" si="17"/>
        <v>20</v>
      </c>
      <c r="BK35" s="157">
        <f t="shared" si="18"/>
        <v>0</v>
      </c>
      <c r="BL35" s="157">
        <f t="shared" si="19"/>
        <v>0</v>
      </c>
      <c r="BM35" s="157">
        <f t="shared" si="20"/>
        <v>0</v>
      </c>
      <c r="BN35" s="157">
        <f t="shared" si="21"/>
        <v>0</v>
      </c>
      <c r="BO35" s="167" t="str">
        <f t="shared" si="22"/>
        <v>P1</v>
      </c>
      <c r="BP35" s="167" t="str">
        <f t="shared" si="23"/>
        <v>P2</v>
      </c>
      <c r="BQ35" s="167" t="str">
        <f t="shared" si="24"/>
        <v>CV</v>
      </c>
      <c r="BR35" s="167" t="str">
        <f t="shared" si="25"/>
        <v>CP</v>
      </c>
      <c r="BS35" s="167">
        <f t="shared" si="26"/>
        <v>0</v>
      </c>
      <c r="BT35" s="167">
        <f t="shared" si="27"/>
        <v>0</v>
      </c>
      <c r="BU35" s="167">
        <f t="shared" si="28"/>
        <v>25</v>
      </c>
      <c r="BV35" s="167">
        <f t="shared" si="29"/>
        <v>25</v>
      </c>
      <c r="BW35" s="167">
        <f t="shared" si="30"/>
        <v>0</v>
      </c>
      <c r="BX35" s="167">
        <f t="shared" si="31"/>
        <v>0</v>
      </c>
      <c r="BY35" s="167">
        <f t="shared" si="32"/>
        <v>0</v>
      </c>
      <c r="BZ35" s="167">
        <f t="shared" si="33"/>
        <v>0</v>
      </c>
      <c r="CA35" s="157" t="str">
        <f t="shared" si="34"/>
        <v>Midterm Exam</v>
      </c>
      <c r="CB35" s="157">
        <f t="shared" si="35"/>
        <v>40</v>
      </c>
      <c r="CC35" s="157">
        <f t="shared" si="36"/>
        <v>0</v>
      </c>
      <c r="CD35" s="157" t="str">
        <f t="shared" si="37"/>
        <v xml:space="preserve"> </v>
      </c>
      <c r="CE35" s="174" t="str">
        <f t="shared" si="38"/>
        <v>LO2</v>
      </c>
      <c r="CF35" s="175">
        <f t="shared" si="39"/>
        <v>0</v>
      </c>
      <c r="CG35" s="175">
        <f t="shared" si="40"/>
        <v>0</v>
      </c>
      <c r="CH35" s="175">
        <f t="shared" si="41"/>
        <v>0</v>
      </c>
      <c r="CI35" s="175">
        <f t="shared" si="42"/>
        <v>0</v>
      </c>
      <c r="CJ35" s="175">
        <f t="shared" si="43"/>
        <v>0</v>
      </c>
      <c r="CK35" s="175">
        <f t="shared" si="44"/>
        <v>25</v>
      </c>
      <c r="CL35" s="175">
        <f t="shared" si="45"/>
        <v>0</v>
      </c>
      <c r="CM35" s="175">
        <f t="shared" si="46"/>
        <v>0</v>
      </c>
      <c r="CN35" s="175">
        <f t="shared" si="47"/>
        <v>0</v>
      </c>
      <c r="CO35" s="153">
        <f t="shared" si="48"/>
        <v>0</v>
      </c>
      <c r="CP35" s="153">
        <f t="shared" si="49"/>
        <v>0</v>
      </c>
      <c r="CQ35" s="175" t="str">
        <f t="shared" si="50"/>
        <v>P3</v>
      </c>
      <c r="CR35" s="175">
        <f t="shared" si="51"/>
        <v>0</v>
      </c>
      <c r="CS35" s="175" t="str">
        <f t="shared" si="52"/>
        <v>LS</v>
      </c>
      <c r="CT35" s="175" t="str">
        <f t="shared" si="53"/>
        <v>B</v>
      </c>
      <c r="CU35" s="175">
        <f t="shared" si="54"/>
        <v>0</v>
      </c>
      <c r="CV35" s="175">
        <f t="shared" si="55"/>
        <v>0</v>
      </c>
      <c r="CW35" s="175">
        <f t="shared" si="56"/>
        <v>25</v>
      </c>
      <c r="CX35" s="153">
        <f t="shared" si="57"/>
        <v>0</v>
      </c>
      <c r="CY35" s="153">
        <f t="shared" si="58"/>
        <v>0</v>
      </c>
      <c r="CZ35" s="153">
        <f t="shared" si="59"/>
        <v>0</v>
      </c>
      <c r="DA35" s="153">
        <f t="shared" si="60"/>
        <v>0</v>
      </c>
      <c r="DB35" s="184">
        <f t="shared" si="61"/>
        <v>0</v>
      </c>
      <c r="DC35" s="167">
        <f t="shared" si="62"/>
        <v>25</v>
      </c>
      <c r="DD35" s="167" t="str">
        <f t="shared" si="63"/>
        <v>Final Exam</v>
      </c>
      <c r="DE35" s="157" t="str">
        <f t="shared" si="64"/>
        <v xml:space="preserve"> </v>
      </c>
      <c r="DF35" s="157">
        <f t="shared" si="65"/>
        <v>0</v>
      </c>
    </row>
    <row r="36" spans="2:110" s="113" customFormat="1" ht="26.25" customHeight="1" thickBot="1" x14ac:dyDescent="0.25">
      <c r="D36" s="106"/>
      <c r="E36" s="106"/>
      <c r="G36" s="92">
        <v>30</v>
      </c>
      <c r="H36" s="83"/>
      <c r="I36" s="84"/>
      <c r="J36" s="98"/>
      <c r="K36" s="103"/>
      <c r="L36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6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6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6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6" s="85"/>
      <c r="Q36" s="86"/>
      <c r="R36" s="86"/>
      <c r="S36" s="86"/>
      <c r="T36" s="86"/>
      <c r="U36" s="87"/>
      <c r="V36" s="88"/>
      <c r="W36" s="86"/>
      <c r="X36" s="86"/>
      <c r="Y36" s="86"/>
      <c r="Z36" s="86"/>
      <c r="AA36" s="87"/>
      <c r="AB36" s="89"/>
      <c r="AC36" s="90"/>
      <c r="AD36" s="88"/>
      <c r="AE36" s="88"/>
      <c r="AF36" s="88"/>
      <c r="AG36" s="86"/>
      <c r="AH36" s="86"/>
      <c r="AI36" s="87"/>
      <c r="AJ36" s="88"/>
      <c r="AK36" s="88"/>
      <c r="AL36" s="88"/>
      <c r="AM36" s="86"/>
      <c r="AN36" s="86"/>
      <c r="AO36" s="86"/>
      <c r="AP36" s="89"/>
      <c r="AQ36" s="90"/>
      <c r="AR36" s="151"/>
      <c r="AS36" s="158">
        <f t="shared" si="0"/>
        <v>0</v>
      </c>
      <c r="AT36" s="165">
        <f t="shared" si="1"/>
        <v>0.3</v>
      </c>
      <c r="AU36" s="165">
        <f t="shared" si="2"/>
        <v>0.4</v>
      </c>
      <c r="AV36" s="165">
        <f t="shared" si="3"/>
        <v>0.3</v>
      </c>
      <c r="AW36" s="165" t="str">
        <f t="shared" si="4"/>
        <v xml:space="preserve"> </v>
      </c>
      <c r="AX36" s="165">
        <f t="shared" si="5"/>
        <v>0.3</v>
      </c>
      <c r="AY36" s="165">
        <f t="shared" si="6"/>
        <v>0.4</v>
      </c>
      <c r="AZ36" s="165">
        <f t="shared" si="7"/>
        <v>0.15</v>
      </c>
      <c r="BA36" s="165">
        <f t="shared" si="8"/>
        <v>0.15</v>
      </c>
      <c r="BB36" s="165" t="str">
        <f t="shared" si="9"/>
        <v xml:space="preserve"> </v>
      </c>
      <c r="BC36" s="158" t="str">
        <f t="shared" si="10"/>
        <v>LO1</v>
      </c>
      <c r="BD36" s="158" t="str">
        <f t="shared" si="11"/>
        <v>Q1</v>
      </c>
      <c r="BE36" s="158">
        <f t="shared" si="12"/>
        <v>0</v>
      </c>
      <c r="BF36" s="158">
        <f t="shared" si="13"/>
        <v>0</v>
      </c>
      <c r="BG36" s="158">
        <f t="shared" si="14"/>
        <v>0</v>
      </c>
      <c r="BH36" s="158">
        <f t="shared" si="15"/>
        <v>0</v>
      </c>
      <c r="BI36" s="158">
        <f t="shared" si="16"/>
        <v>25</v>
      </c>
      <c r="BJ36" s="158">
        <f t="shared" si="17"/>
        <v>20</v>
      </c>
      <c r="BK36" s="158">
        <f t="shared" si="18"/>
        <v>0</v>
      </c>
      <c r="BL36" s="158">
        <f t="shared" si="19"/>
        <v>0</v>
      </c>
      <c r="BM36" s="158">
        <f t="shared" si="20"/>
        <v>0</v>
      </c>
      <c r="BN36" s="158">
        <f t="shared" si="21"/>
        <v>0</v>
      </c>
      <c r="BO36" s="168" t="str">
        <f t="shared" si="22"/>
        <v>P1</v>
      </c>
      <c r="BP36" s="168" t="str">
        <f t="shared" si="23"/>
        <v>P2</v>
      </c>
      <c r="BQ36" s="168" t="str">
        <f t="shared" si="24"/>
        <v>CV</v>
      </c>
      <c r="BR36" s="168" t="str">
        <f t="shared" si="25"/>
        <v>CP</v>
      </c>
      <c r="BS36" s="168">
        <f t="shared" si="26"/>
        <v>0</v>
      </c>
      <c r="BT36" s="168">
        <f t="shared" si="27"/>
        <v>0</v>
      </c>
      <c r="BU36" s="168">
        <f t="shared" si="28"/>
        <v>25</v>
      </c>
      <c r="BV36" s="168">
        <f t="shared" si="29"/>
        <v>25</v>
      </c>
      <c r="BW36" s="168">
        <f t="shared" si="30"/>
        <v>0</v>
      </c>
      <c r="BX36" s="168">
        <f t="shared" si="31"/>
        <v>0</v>
      </c>
      <c r="BY36" s="168">
        <f t="shared" si="32"/>
        <v>0</v>
      </c>
      <c r="BZ36" s="168">
        <f t="shared" si="33"/>
        <v>0</v>
      </c>
      <c r="CA36" s="158" t="str">
        <f t="shared" si="34"/>
        <v>Midterm Exam</v>
      </c>
      <c r="CB36" s="158">
        <f t="shared" si="35"/>
        <v>40</v>
      </c>
      <c r="CC36" s="158">
        <f t="shared" si="36"/>
        <v>0</v>
      </c>
      <c r="CD36" s="158" t="str">
        <f t="shared" si="37"/>
        <v xml:space="preserve"> </v>
      </c>
      <c r="CE36" s="176" t="str">
        <f t="shared" si="38"/>
        <v>LO2</v>
      </c>
      <c r="CF36" s="177">
        <f t="shared" si="39"/>
        <v>0</v>
      </c>
      <c r="CG36" s="177">
        <f t="shared" si="40"/>
        <v>0</v>
      </c>
      <c r="CH36" s="177">
        <f t="shared" si="41"/>
        <v>0</v>
      </c>
      <c r="CI36" s="177">
        <f t="shared" si="42"/>
        <v>0</v>
      </c>
      <c r="CJ36" s="177">
        <f t="shared" si="43"/>
        <v>0</v>
      </c>
      <c r="CK36" s="177">
        <f t="shared" si="44"/>
        <v>25</v>
      </c>
      <c r="CL36" s="177">
        <f t="shared" si="45"/>
        <v>0</v>
      </c>
      <c r="CM36" s="177">
        <f t="shared" si="46"/>
        <v>0</v>
      </c>
      <c r="CN36" s="177">
        <f t="shared" si="47"/>
        <v>0</v>
      </c>
      <c r="CO36" s="178">
        <f t="shared" si="48"/>
        <v>0</v>
      </c>
      <c r="CP36" s="178">
        <f t="shared" si="49"/>
        <v>0</v>
      </c>
      <c r="CQ36" s="177" t="str">
        <f t="shared" si="50"/>
        <v>P3</v>
      </c>
      <c r="CR36" s="177">
        <f t="shared" si="51"/>
        <v>0</v>
      </c>
      <c r="CS36" s="177" t="str">
        <f t="shared" si="52"/>
        <v>LS</v>
      </c>
      <c r="CT36" s="177" t="str">
        <f t="shared" si="53"/>
        <v>B</v>
      </c>
      <c r="CU36" s="177">
        <f t="shared" si="54"/>
        <v>0</v>
      </c>
      <c r="CV36" s="177">
        <f t="shared" si="55"/>
        <v>0</v>
      </c>
      <c r="CW36" s="177">
        <f t="shared" si="56"/>
        <v>25</v>
      </c>
      <c r="CX36" s="178">
        <f t="shared" si="57"/>
        <v>0</v>
      </c>
      <c r="CY36" s="178">
        <f t="shared" si="58"/>
        <v>0</v>
      </c>
      <c r="CZ36" s="178">
        <f t="shared" si="59"/>
        <v>0</v>
      </c>
      <c r="DA36" s="178">
        <f t="shared" si="60"/>
        <v>0</v>
      </c>
      <c r="DB36" s="185">
        <f t="shared" si="61"/>
        <v>0</v>
      </c>
      <c r="DC36" s="168">
        <f t="shared" si="62"/>
        <v>25</v>
      </c>
      <c r="DD36" s="168" t="str">
        <f t="shared" si="63"/>
        <v>Final Exam</v>
      </c>
      <c r="DE36" s="158" t="str">
        <f t="shared" si="64"/>
        <v xml:space="preserve"> </v>
      </c>
      <c r="DF36" s="158">
        <f t="shared" si="65"/>
        <v>0</v>
      </c>
    </row>
    <row r="37" spans="2:110" s="113" customFormat="1" ht="26.25" customHeight="1" thickTop="1" x14ac:dyDescent="0.2">
      <c r="D37" s="106"/>
      <c r="E37" s="106"/>
      <c r="G37" s="131">
        <v>31</v>
      </c>
      <c r="H37" s="75"/>
      <c r="I37" s="76"/>
      <c r="J37" s="99"/>
      <c r="K37" s="104"/>
      <c r="L37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7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7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7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7" s="77"/>
      <c r="Q37" s="78"/>
      <c r="R37" s="78"/>
      <c r="S37" s="78"/>
      <c r="T37" s="78"/>
      <c r="U37" s="79"/>
      <c r="V37" s="80"/>
      <c r="W37" s="78"/>
      <c r="X37" s="78"/>
      <c r="Y37" s="78"/>
      <c r="Z37" s="78"/>
      <c r="AA37" s="79"/>
      <c r="AB37" s="81"/>
      <c r="AC37" s="82"/>
      <c r="AD37" s="80"/>
      <c r="AE37" s="80"/>
      <c r="AF37" s="80"/>
      <c r="AG37" s="78"/>
      <c r="AH37" s="78"/>
      <c r="AI37" s="79"/>
      <c r="AJ37" s="80"/>
      <c r="AK37" s="80"/>
      <c r="AL37" s="80"/>
      <c r="AM37" s="78"/>
      <c r="AN37" s="78"/>
      <c r="AO37" s="78"/>
      <c r="AP37" s="81"/>
      <c r="AQ37" s="82"/>
      <c r="AR37" s="149"/>
      <c r="AS37" s="159">
        <f t="shared" si="0"/>
        <v>0</v>
      </c>
      <c r="AT37" s="162">
        <f t="shared" si="1"/>
        <v>0.3</v>
      </c>
      <c r="AU37" s="162">
        <f t="shared" si="2"/>
        <v>0.4</v>
      </c>
      <c r="AV37" s="162">
        <f t="shared" si="3"/>
        <v>0.3</v>
      </c>
      <c r="AW37" s="162" t="str">
        <f t="shared" si="4"/>
        <v xml:space="preserve"> </v>
      </c>
      <c r="AX37" s="162">
        <f t="shared" si="5"/>
        <v>0.3</v>
      </c>
      <c r="AY37" s="162">
        <f t="shared" si="6"/>
        <v>0.4</v>
      </c>
      <c r="AZ37" s="162">
        <f t="shared" si="7"/>
        <v>0.15</v>
      </c>
      <c r="BA37" s="162">
        <f t="shared" si="8"/>
        <v>0.15</v>
      </c>
      <c r="BB37" s="162" t="str">
        <f t="shared" si="9"/>
        <v xml:space="preserve"> </v>
      </c>
      <c r="BC37" s="159" t="str">
        <f t="shared" si="10"/>
        <v>LO1</v>
      </c>
      <c r="BD37" s="159" t="str">
        <f t="shared" si="11"/>
        <v>Q1</v>
      </c>
      <c r="BE37" s="159">
        <f t="shared" si="12"/>
        <v>0</v>
      </c>
      <c r="BF37" s="159">
        <f t="shared" si="13"/>
        <v>0</v>
      </c>
      <c r="BG37" s="159">
        <f t="shared" si="14"/>
        <v>0</v>
      </c>
      <c r="BH37" s="159">
        <f t="shared" si="15"/>
        <v>0</v>
      </c>
      <c r="BI37" s="159">
        <f t="shared" si="16"/>
        <v>25</v>
      </c>
      <c r="BJ37" s="159">
        <f t="shared" si="17"/>
        <v>20</v>
      </c>
      <c r="BK37" s="159">
        <f t="shared" si="18"/>
        <v>0</v>
      </c>
      <c r="BL37" s="159">
        <f t="shared" si="19"/>
        <v>0</v>
      </c>
      <c r="BM37" s="159">
        <f t="shared" si="20"/>
        <v>0</v>
      </c>
      <c r="BN37" s="159">
        <f t="shared" si="21"/>
        <v>0</v>
      </c>
      <c r="BO37" s="169" t="str">
        <f t="shared" si="22"/>
        <v>P1</v>
      </c>
      <c r="BP37" s="169" t="str">
        <f t="shared" si="23"/>
        <v>P2</v>
      </c>
      <c r="BQ37" s="169" t="str">
        <f t="shared" si="24"/>
        <v>CV</v>
      </c>
      <c r="BR37" s="169" t="str">
        <f t="shared" si="25"/>
        <v>CP</v>
      </c>
      <c r="BS37" s="169">
        <f t="shared" si="26"/>
        <v>0</v>
      </c>
      <c r="BT37" s="169">
        <f t="shared" si="27"/>
        <v>0</v>
      </c>
      <c r="BU37" s="169">
        <f t="shared" si="28"/>
        <v>25</v>
      </c>
      <c r="BV37" s="169">
        <f t="shared" si="29"/>
        <v>25</v>
      </c>
      <c r="BW37" s="169">
        <f t="shared" si="30"/>
        <v>0</v>
      </c>
      <c r="BX37" s="169">
        <f t="shared" si="31"/>
        <v>0</v>
      </c>
      <c r="BY37" s="169">
        <f t="shared" si="32"/>
        <v>0</v>
      </c>
      <c r="BZ37" s="169">
        <f t="shared" si="33"/>
        <v>0</v>
      </c>
      <c r="CA37" s="159" t="str">
        <f t="shared" si="34"/>
        <v>Midterm Exam</v>
      </c>
      <c r="CB37" s="159">
        <f t="shared" si="35"/>
        <v>40</v>
      </c>
      <c r="CC37" s="159">
        <f t="shared" si="36"/>
        <v>0</v>
      </c>
      <c r="CD37" s="159" t="str">
        <f t="shared" si="37"/>
        <v xml:space="preserve"> </v>
      </c>
      <c r="CE37" s="179" t="str">
        <f t="shared" si="38"/>
        <v>LO2</v>
      </c>
      <c r="CF37" s="180">
        <f t="shared" si="39"/>
        <v>0</v>
      </c>
      <c r="CG37" s="180">
        <f t="shared" si="40"/>
        <v>0</v>
      </c>
      <c r="CH37" s="180">
        <f t="shared" si="41"/>
        <v>0</v>
      </c>
      <c r="CI37" s="180">
        <f t="shared" si="42"/>
        <v>0</v>
      </c>
      <c r="CJ37" s="180">
        <f t="shared" si="43"/>
        <v>0</v>
      </c>
      <c r="CK37" s="180">
        <f t="shared" si="44"/>
        <v>25</v>
      </c>
      <c r="CL37" s="180">
        <f t="shared" si="45"/>
        <v>0</v>
      </c>
      <c r="CM37" s="180">
        <f t="shared" si="46"/>
        <v>0</v>
      </c>
      <c r="CN37" s="180">
        <f t="shared" si="47"/>
        <v>0</v>
      </c>
      <c r="CO37" s="154">
        <f t="shared" si="48"/>
        <v>0</v>
      </c>
      <c r="CP37" s="154">
        <f t="shared" si="49"/>
        <v>0</v>
      </c>
      <c r="CQ37" s="180" t="str">
        <f t="shared" si="50"/>
        <v>P3</v>
      </c>
      <c r="CR37" s="180">
        <f t="shared" si="51"/>
        <v>0</v>
      </c>
      <c r="CS37" s="180" t="str">
        <f t="shared" si="52"/>
        <v>LS</v>
      </c>
      <c r="CT37" s="180" t="str">
        <f t="shared" si="53"/>
        <v>B</v>
      </c>
      <c r="CU37" s="180">
        <f t="shared" si="54"/>
        <v>0</v>
      </c>
      <c r="CV37" s="180">
        <f t="shared" si="55"/>
        <v>0</v>
      </c>
      <c r="CW37" s="180">
        <f t="shared" si="56"/>
        <v>25</v>
      </c>
      <c r="CX37" s="154">
        <f t="shared" si="57"/>
        <v>0</v>
      </c>
      <c r="CY37" s="154">
        <f t="shared" si="58"/>
        <v>0</v>
      </c>
      <c r="CZ37" s="154">
        <f t="shared" si="59"/>
        <v>0</v>
      </c>
      <c r="DA37" s="154">
        <f t="shared" si="60"/>
        <v>0</v>
      </c>
      <c r="DB37" s="186">
        <f t="shared" si="61"/>
        <v>0</v>
      </c>
      <c r="DC37" s="169">
        <f t="shared" si="62"/>
        <v>25</v>
      </c>
      <c r="DD37" s="169" t="str">
        <f t="shared" si="63"/>
        <v>Final Exam</v>
      </c>
      <c r="DE37" s="159" t="str">
        <f t="shared" si="64"/>
        <v xml:space="preserve"> </v>
      </c>
      <c r="DF37" s="159">
        <f t="shared" si="65"/>
        <v>0</v>
      </c>
    </row>
    <row r="38" spans="2:110" s="113" customFormat="1" ht="26.25" customHeight="1" x14ac:dyDescent="0.2">
      <c r="D38" s="106"/>
      <c r="E38" s="106"/>
      <c r="G38" s="60">
        <v>32</v>
      </c>
      <c r="H38" s="66"/>
      <c r="I38" s="63"/>
      <c r="J38" s="97"/>
      <c r="K38" s="102"/>
      <c r="L38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8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8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8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8" s="40"/>
      <c r="Q38" s="41"/>
      <c r="R38" s="41"/>
      <c r="S38" s="41"/>
      <c r="T38" s="41"/>
      <c r="U38" s="42"/>
      <c r="V38" s="43"/>
      <c r="W38" s="41"/>
      <c r="X38" s="41"/>
      <c r="Y38" s="41"/>
      <c r="Z38" s="41"/>
      <c r="AA38" s="42"/>
      <c r="AB38" s="44"/>
      <c r="AC38" s="73"/>
      <c r="AD38" s="43"/>
      <c r="AE38" s="43"/>
      <c r="AF38" s="43"/>
      <c r="AG38" s="41"/>
      <c r="AH38" s="41"/>
      <c r="AI38" s="42"/>
      <c r="AJ38" s="43"/>
      <c r="AK38" s="43"/>
      <c r="AL38" s="43"/>
      <c r="AM38" s="41"/>
      <c r="AN38" s="41"/>
      <c r="AO38" s="41"/>
      <c r="AP38" s="44"/>
      <c r="AQ38" s="73"/>
      <c r="AR38" s="150"/>
      <c r="AS38" s="157">
        <f t="shared" si="0"/>
        <v>0</v>
      </c>
      <c r="AT38" s="161">
        <f t="shared" si="1"/>
        <v>0.3</v>
      </c>
      <c r="AU38" s="161">
        <f t="shared" si="2"/>
        <v>0.4</v>
      </c>
      <c r="AV38" s="161">
        <f t="shared" si="3"/>
        <v>0.3</v>
      </c>
      <c r="AW38" s="161" t="str">
        <f t="shared" si="4"/>
        <v xml:space="preserve"> </v>
      </c>
      <c r="AX38" s="161">
        <f t="shared" si="5"/>
        <v>0.3</v>
      </c>
      <c r="AY38" s="161">
        <f t="shared" si="6"/>
        <v>0.4</v>
      </c>
      <c r="AZ38" s="161">
        <f t="shared" si="7"/>
        <v>0.15</v>
      </c>
      <c r="BA38" s="161">
        <f t="shared" si="8"/>
        <v>0.15</v>
      </c>
      <c r="BB38" s="161" t="str">
        <f t="shared" si="9"/>
        <v xml:space="preserve"> </v>
      </c>
      <c r="BC38" s="157" t="str">
        <f t="shared" si="10"/>
        <v>LO1</v>
      </c>
      <c r="BD38" s="157" t="str">
        <f t="shared" si="11"/>
        <v>Q1</v>
      </c>
      <c r="BE38" s="157">
        <f t="shared" si="12"/>
        <v>0</v>
      </c>
      <c r="BF38" s="157">
        <f t="shared" si="13"/>
        <v>0</v>
      </c>
      <c r="BG38" s="157">
        <f t="shared" si="14"/>
        <v>0</v>
      </c>
      <c r="BH38" s="157">
        <f t="shared" si="15"/>
        <v>0</v>
      </c>
      <c r="BI38" s="157">
        <f t="shared" si="16"/>
        <v>25</v>
      </c>
      <c r="BJ38" s="157">
        <f t="shared" si="17"/>
        <v>20</v>
      </c>
      <c r="BK38" s="157">
        <f t="shared" si="18"/>
        <v>0</v>
      </c>
      <c r="BL38" s="157">
        <f t="shared" si="19"/>
        <v>0</v>
      </c>
      <c r="BM38" s="157">
        <f t="shared" si="20"/>
        <v>0</v>
      </c>
      <c r="BN38" s="157">
        <f t="shared" si="21"/>
        <v>0</v>
      </c>
      <c r="BO38" s="167" t="str">
        <f t="shared" si="22"/>
        <v>P1</v>
      </c>
      <c r="BP38" s="167" t="str">
        <f t="shared" si="23"/>
        <v>P2</v>
      </c>
      <c r="BQ38" s="167" t="str">
        <f t="shared" si="24"/>
        <v>CV</v>
      </c>
      <c r="BR38" s="167" t="str">
        <f t="shared" si="25"/>
        <v>CP</v>
      </c>
      <c r="BS38" s="167">
        <f t="shared" si="26"/>
        <v>0</v>
      </c>
      <c r="BT38" s="167">
        <f t="shared" si="27"/>
        <v>0</v>
      </c>
      <c r="BU38" s="167">
        <f t="shared" si="28"/>
        <v>25</v>
      </c>
      <c r="BV38" s="167">
        <f t="shared" si="29"/>
        <v>25</v>
      </c>
      <c r="BW38" s="167">
        <f t="shared" si="30"/>
        <v>0</v>
      </c>
      <c r="BX38" s="167">
        <f t="shared" si="31"/>
        <v>0</v>
      </c>
      <c r="BY38" s="167">
        <f t="shared" si="32"/>
        <v>0</v>
      </c>
      <c r="BZ38" s="167">
        <f t="shared" si="33"/>
        <v>0</v>
      </c>
      <c r="CA38" s="157" t="str">
        <f t="shared" si="34"/>
        <v>Midterm Exam</v>
      </c>
      <c r="CB38" s="157">
        <f t="shared" si="35"/>
        <v>40</v>
      </c>
      <c r="CC38" s="157">
        <f t="shared" si="36"/>
        <v>0</v>
      </c>
      <c r="CD38" s="157" t="str">
        <f t="shared" si="37"/>
        <v xml:space="preserve"> </v>
      </c>
      <c r="CE38" s="174" t="str">
        <f t="shared" si="38"/>
        <v>LO2</v>
      </c>
      <c r="CF38" s="175">
        <f t="shared" si="39"/>
        <v>0</v>
      </c>
      <c r="CG38" s="175">
        <f t="shared" si="40"/>
        <v>0</v>
      </c>
      <c r="CH38" s="175">
        <f t="shared" si="41"/>
        <v>0</v>
      </c>
      <c r="CI38" s="175">
        <f t="shared" si="42"/>
        <v>0</v>
      </c>
      <c r="CJ38" s="175">
        <f t="shared" si="43"/>
        <v>0</v>
      </c>
      <c r="CK38" s="175">
        <f t="shared" si="44"/>
        <v>25</v>
      </c>
      <c r="CL38" s="175">
        <f t="shared" si="45"/>
        <v>0</v>
      </c>
      <c r="CM38" s="175">
        <f t="shared" si="46"/>
        <v>0</v>
      </c>
      <c r="CN38" s="175">
        <f t="shared" si="47"/>
        <v>0</v>
      </c>
      <c r="CO38" s="153">
        <f t="shared" si="48"/>
        <v>0</v>
      </c>
      <c r="CP38" s="153">
        <f t="shared" si="49"/>
        <v>0</v>
      </c>
      <c r="CQ38" s="175" t="str">
        <f t="shared" si="50"/>
        <v>P3</v>
      </c>
      <c r="CR38" s="175">
        <f t="shared" si="51"/>
        <v>0</v>
      </c>
      <c r="CS38" s="175" t="str">
        <f t="shared" si="52"/>
        <v>LS</v>
      </c>
      <c r="CT38" s="175" t="str">
        <f t="shared" si="53"/>
        <v>B</v>
      </c>
      <c r="CU38" s="175">
        <f t="shared" si="54"/>
        <v>0</v>
      </c>
      <c r="CV38" s="175">
        <f t="shared" si="55"/>
        <v>0</v>
      </c>
      <c r="CW38" s="175">
        <f t="shared" si="56"/>
        <v>25</v>
      </c>
      <c r="CX38" s="153">
        <f t="shared" si="57"/>
        <v>0</v>
      </c>
      <c r="CY38" s="153">
        <f t="shared" si="58"/>
        <v>0</v>
      </c>
      <c r="CZ38" s="153">
        <f t="shared" si="59"/>
        <v>0</v>
      </c>
      <c r="DA38" s="153">
        <f t="shared" si="60"/>
        <v>0</v>
      </c>
      <c r="DB38" s="184">
        <f t="shared" si="61"/>
        <v>0</v>
      </c>
      <c r="DC38" s="167">
        <f t="shared" si="62"/>
        <v>25</v>
      </c>
      <c r="DD38" s="167" t="str">
        <f t="shared" si="63"/>
        <v>Final Exam</v>
      </c>
      <c r="DE38" s="157" t="str">
        <f t="shared" si="64"/>
        <v xml:space="preserve"> </v>
      </c>
      <c r="DF38" s="157">
        <f t="shared" si="65"/>
        <v>0</v>
      </c>
    </row>
    <row r="39" spans="2:110" s="113" customFormat="1" ht="26.25" customHeight="1" x14ac:dyDescent="0.2">
      <c r="D39" s="106"/>
      <c r="E39" s="106"/>
      <c r="G39" s="60">
        <v>33</v>
      </c>
      <c r="H39" s="66"/>
      <c r="I39" s="63"/>
      <c r="J39" s="97"/>
      <c r="K39" s="102"/>
      <c r="L39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39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39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39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39" s="40"/>
      <c r="Q39" s="41"/>
      <c r="R39" s="41"/>
      <c r="S39" s="41"/>
      <c r="T39" s="41"/>
      <c r="U39" s="42"/>
      <c r="V39" s="43"/>
      <c r="W39" s="41"/>
      <c r="X39" s="41"/>
      <c r="Y39" s="41"/>
      <c r="Z39" s="41"/>
      <c r="AA39" s="42"/>
      <c r="AB39" s="44"/>
      <c r="AC39" s="73"/>
      <c r="AD39" s="43"/>
      <c r="AE39" s="43"/>
      <c r="AF39" s="43"/>
      <c r="AG39" s="41"/>
      <c r="AH39" s="41"/>
      <c r="AI39" s="42"/>
      <c r="AJ39" s="43"/>
      <c r="AK39" s="43"/>
      <c r="AL39" s="43"/>
      <c r="AM39" s="41"/>
      <c r="AN39" s="41"/>
      <c r="AO39" s="41"/>
      <c r="AP39" s="44"/>
      <c r="AQ39" s="73"/>
      <c r="AR39" s="150"/>
      <c r="AS39" s="157">
        <f t="shared" ref="AS39:AS56" si="66">$E$8</f>
        <v>0</v>
      </c>
      <c r="AT39" s="161">
        <f t="shared" ref="AT39:AT56" si="67">$D$17</f>
        <v>0.3</v>
      </c>
      <c r="AU39" s="161">
        <f t="shared" ref="AU39:AU56" si="68">$D$18</f>
        <v>0.4</v>
      </c>
      <c r="AV39" s="161">
        <f t="shared" ref="AV39:AV56" si="69">$D$19</f>
        <v>0.3</v>
      </c>
      <c r="AW39" s="161" t="str">
        <f t="shared" ref="AW39:AW56" si="70">$D$21</f>
        <v xml:space="preserve"> </v>
      </c>
      <c r="AX39" s="161">
        <f t="shared" ref="AX39:AX56" si="71">$E$17</f>
        <v>0.3</v>
      </c>
      <c r="AY39" s="161">
        <f t="shared" ref="AY39:AY56" si="72">$E$18</f>
        <v>0.4</v>
      </c>
      <c r="AZ39" s="161">
        <f t="shared" ref="AZ39:AZ56" si="73">$E$20</f>
        <v>0.15</v>
      </c>
      <c r="BA39" s="161">
        <f t="shared" ref="BA39:BA56" si="74">$E$19</f>
        <v>0.15</v>
      </c>
      <c r="BB39" s="161" t="str">
        <f t="shared" ref="BB39:BB56" si="75">$E$21</f>
        <v xml:space="preserve"> </v>
      </c>
      <c r="BC39" s="157" t="str">
        <f t="shared" ref="BC39:BC56" si="76">$P$4</f>
        <v>LO1</v>
      </c>
      <c r="BD39" s="157" t="str">
        <f t="shared" ref="BD39:BD56" si="77">$Q$4</f>
        <v>Q1</v>
      </c>
      <c r="BE39" s="157">
        <f t="shared" ref="BE39:BE56" si="78">$R$4</f>
        <v>0</v>
      </c>
      <c r="BF39" s="157">
        <f t="shared" ref="BF39:BF56" si="79">$S$4</f>
        <v>0</v>
      </c>
      <c r="BG39" s="157">
        <f t="shared" ref="BG39:BG56" si="80">$T$4</f>
        <v>0</v>
      </c>
      <c r="BH39" s="157">
        <f t="shared" ref="BH39:BH56" si="81">$U$4</f>
        <v>0</v>
      </c>
      <c r="BI39" s="157">
        <f t="shared" ref="BI39:BI56" si="82">$P$5</f>
        <v>25</v>
      </c>
      <c r="BJ39" s="157">
        <f t="shared" ref="BJ39:BJ56" si="83">$Q$5</f>
        <v>20</v>
      </c>
      <c r="BK39" s="157">
        <f t="shared" ref="BK39:BK56" si="84">$R$5</f>
        <v>0</v>
      </c>
      <c r="BL39" s="157">
        <f t="shared" ref="BL39:BL56" si="85">$S$5</f>
        <v>0</v>
      </c>
      <c r="BM39" s="157">
        <f t="shared" ref="BM39:BM56" si="86">$T$5</f>
        <v>0</v>
      </c>
      <c r="BN39" s="157">
        <f t="shared" ref="BN39:BN56" si="87">$U$5</f>
        <v>0</v>
      </c>
      <c r="BO39" s="167" t="str">
        <f t="shared" ref="BO39:BO56" si="88">$V$4</f>
        <v>P1</v>
      </c>
      <c r="BP39" s="167" t="str">
        <f t="shared" ref="BP39:BP56" si="89">$W$4</f>
        <v>P2</v>
      </c>
      <c r="BQ39" s="167" t="str">
        <f t="shared" ref="BQ39:BQ56" si="90">$X$4</f>
        <v>CV</v>
      </c>
      <c r="BR39" s="167" t="str">
        <f t="shared" ref="BR39:BR56" si="91">$Y$4</f>
        <v>CP</v>
      </c>
      <c r="BS39" s="167">
        <f t="shared" ref="BS39:BS56" si="92">$Z$4</f>
        <v>0</v>
      </c>
      <c r="BT39" s="167">
        <f t="shared" ref="BT39:BT56" si="93">$AA$4</f>
        <v>0</v>
      </c>
      <c r="BU39" s="167">
        <f t="shared" ref="BU39:BU56" si="94">$V$5</f>
        <v>25</v>
      </c>
      <c r="BV39" s="167">
        <f t="shared" ref="BV39:BV56" si="95">$W$5</f>
        <v>25</v>
      </c>
      <c r="BW39" s="167">
        <f t="shared" ref="BW39:BW56" si="96">$X$5</f>
        <v>0</v>
      </c>
      <c r="BX39" s="167">
        <f t="shared" ref="BX39:BX56" si="97">$Y$5</f>
        <v>0</v>
      </c>
      <c r="BY39" s="167">
        <f t="shared" ref="BY39:BY56" si="98">$Z$5</f>
        <v>0</v>
      </c>
      <c r="BZ39" s="167">
        <f t="shared" ref="BZ39:BZ56" si="99">$AA$5</f>
        <v>0</v>
      </c>
      <c r="CA39" s="157" t="str">
        <f t="shared" ref="CA39:CA56" si="100">$AB$3</f>
        <v>Midterm Exam</v>
      </c>
      <c r="CB39" s="157">
        <f t="shared" ref="CB39:CB56" si="101">$AB$5</f>
        <v>40</v>
      </c>
      <c r="CC39" s="157">
        <f t="shared" ref="CC39:CC56" si="102">$AC$5</f>
        <v>0</v>
      </c>
      <c r="CD39" s="157" t="str">
        <f t="shared" ref="CD39:CD56" si="103">$AC$3</f>
        <v xml:space="preserve"> </v>
      </c>
      <c r="CE39" s="174" t="str">
        <f t="shared" ref="CE39:CE56" si="104">AD$4</f>
        <v>LO2</v>
      </c>
      <c r="CF39" s="175">
        <f t="shared" ref="CF39:CF56" si="105">$AE$4</f>
        <v>0</v>
      </c>
      <c r="CG39" s="175">
        <f t="shared" ref="CG39:CG56" si="106">$AF$4</f>
        <v>0</v>
      </c>
      <c r="CH39" s="175">
        <f t="shared" ref="CH39:CH56" si="107">$AG$4</f>
        <v>0</v>
      </c>
      <c r="CI39" s="175">
        <f t="shared" ref="CI39:CI56" si="108">$AH$4</f>
        <v>0</v>
      </c>
      <c r="CJ39" s="175">
        <f t="shared" ref="CJ39:CJ56" si="109">$AI$4</f>
        <v>0</v>
      </c>
      <c r="CK39" s="175">
        <f t="shared" ref="CK39:CK56" si="110">$AD$5</f>
        <v>25</v>
      </c>
      <c r="CL39" s="175">
        <f t="shared" ref="CL39:CL56" si="111">$AE$5</f>
        <v>0</v>
      </c>
      <c r="CM39" s="175">
        <f t="shared" ref="CM39:CM56" si="112">$AF$5</f>
        <v>0</v>
      </c>
      <c r="CN39" s="175">
        <f t="shared" ref="CN39:CN56" si="113">$AG$5</f>
        <v>0</v>
      </c>
      <c r="CO39" s="153">
        <f t="shared" ref="CO39:CO56" si="114">$AH$5</f>
        <v>0</v>
      </c>
      <c r="CP39" s="153">
        <f t="shared" ref="CP39:CP56" si="115">$AI$5</f>
        <v>0</v>
      </c>
      <c r="CQ39" s="175" t="str">
        <f t="shared" ref="CQ39:CQ56" si="116">$AJ$4</f>
        <v>P3</v>
      </c>
      <c r="CR39" s="175">
        <f t="shared" ref="CR39:CR56" si="117">$AK$4</f>
        <v>0</v>
      </c>
      <c r="CS39" s="175" t="str">
        <f t="shared" ref="CS39:CS56" si="118">$AL$4</f>
        <v>LS</v>
      </c>
      <c r="CT39" s="175" t="str">
        <f t="shared" ref="CT39:CT56" si="119">$AM$4</f>
        <v>B</v>
      </c>
      <c r="CU39" s="175">
        <f t="shared" ref="CU39:CU56" si="120">$AN$4</f>
        <v>0</v>
      </c>
      <c r="CV39" s="175">
        <f t="shared" ref="CV39:CV56" si="121">$AO$4</f>
        <v>0</v>
      </c>
      <c r="CW39" s="175">
        <f t="shared" ref="CW39:CW56" si="122">$AJ$5</f>
        <v>25</v>
      </c>
      <c r="CX39" s="153">
        <f t="shared" ref="CX39:CX56" si="123">$AK$5</f>
        <v>0</v>
      </c>
      <c r="CY39" s="153">
        <f t="shared" ref="CY39:CY56" si="124">$AL$5</f>
        <v>0</v>
      </c>
      <c r="CZ39" s="153">
        <f t="shared" ref="CZ39:CZ56" si="125">$AM$5</f>
        <v>0</v>
      </c>
      <c r="DA39" s="153">
        <f t="shared" ref="DA39:DA56" si="126">$AN$5</f>
        <v>0</v>
      </c>
      <c r="DB39" s="184">
        <f t="shared" ref="DB39:DB56" si="127">$AO$5</f>
        <v>0</v>
      </c>
      <c r="DC39" s="167">
        <f t="shared" ref="DC39:DC56" si="128">$AP$5</f>
        <v>25</v>
      </c>
      <c r="DD39" s="167" t="str">
        <f t="shared" ref="DD39:DD56" si="129">$AP$3</f>
        <v>Final Exam</v>
      </c>
      <c r="DE39" s="157" t="str">
        <f t="shared" ref="DE39:DE56" si="130">$AQ$3</f>
        <v xml:space="preserve"> </v>
      </c>
      <c r="DF39" s="157">
        <f t="shared" ref="DF39:DF56" si="131">$AQ$5</f>
        <v>0</v>
      </c>
    </row>
    <row r="40" spans="2:110" s="113" customFormat="1" ht="26.25" customHeight="1" x14ac:dyDescent="0.2">
      <c r="D40" s="106"/>
      <c r="E40" s="106"/>
      <c r="G40" s="60">
        <v>34</v>
      </c>
      <c r="H40" s="66"/>
      <c r="I40" s="63"/>
      <c r="J40" s="97"/>
      <c r="K40" s="102"/>
      <c r="L40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0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0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0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0" s="40"/>
      <c r="Q40" s="41"/>
      <c r="R40" s="41"/>
      <c r="S40" s="41"/>
      <c r="T40" s="41"/>
      <c r="U40" s="42"/>
      <c r="V40" s="43"/>
      <c r="W40" s="41"/>
      <c r="X40" s="41"/>
      <c r="Y40" s="41"/>
      <c r="Z40" s="41"/>
      <c r="AA40" s="42"/>
      <c r="AB40" s="44"/>
      <c r="AC40" s="73"/>
      <c r="AD40" s="43"/>
      <c r="AE40" s="43"/>
      <c r="AF40" s="43"/>
      <c r="AG40" s="41"/>
      <c r="AH40" s="41"/>
      <c r="AI40" s="42"/>
      <c r="AJ40" s="43"/>
      <c r="AK40" s="43"/>
      <c r="AL40" s="43"/>
      <c r="AM40" s="41"/>
      <c r="AN40" s="41"/>
      <c r="AO40" s="41"/>
      <c r="AP40" s="44"/>
      <c r="AQ40" s="73"/>
      <c r="AR40" s="150"/>
      <c r="AS40" s="157">
        <f t="shared" si="66"/>
        <v>0</v>
      </c>
      <c r="AT40" s="161">
        <f t="shared" si="67"/>
        <v>0.3</v>
      </c>
      <c r="AU40" s="161">
        <f t="shared" si="68"/>
        <v>0.4</v>
      </c>
      <c r="AV40" s="161">
        <f t="shared" si="69"/>
        <v>0.3</v>
      </c>
      <c r="AW40" s="161" t="str">
        <f t="shared" si="70"/>
        <v xml:space="preserve"> </v>
      </c>
      <c r="AX40" s="161">
        <f t="shared" si="71"/>
        <v>0.3</v>
      </c>
      <c r="AY40" s="161">
        <f t="shared" si="72"/>
        <v>0.4</v>
      </c>
      <c r="AZ40" s="161">
        <f t="shared" si="73"/>
        <v>0.15</v>
      </c>
      <c r="BA40" s="161">
        <f t="shared" si="74"/>
        <v>0.15</v>
      </c>
      <c r="BB40" s="161" t="str">
        <f t="shared" si="75"/>
        <v xml:space="preserve"> </v>
      </c>
      <c r="BC40" s="157" t="str">
        <f t="shared" si="76"/>
        <v>LO1</v>
      </c>
      <c r="BD40" s="157" t="str">
        <f t="shared" si="77"/>
        <v>Q1</v>
      </c>
      <c r="BE40" s="157">
        <f t="shared" si="78"/>
        <v>0</v>
      </c>
      <c r="BF40" s="157">
        <f t="shared" si="79"/>
        <v>0</v>
      </c>
      <c r="BG40" s="157">
        <f t="shared" si="80"/>
        <v>0</v>
      </c>
      <c r="BH40" s="157">
        <f t="shared" si="81"/>
        <v>0</v>
      </c>
      <c r="BI40" s="157">
        <f t="shared" si="82"/>
        <v>25</v>
      </c>
      <c r="BJ40" s="157">
        <f t="shared" si="83"/>
        <v>20</v>
      </c>
      <c r="BK40" s="157">
        <f t="shared" si="84"/>
        <v>0</v>
      </c>
      <c r="BL40" s="157">
        <f t="shared" si="85"/>
        <v>0</v>
      </c>
      <c r="BM40" s="157">
        <f t="shared" si="86"/>
        <v>0</v>
      </c>
      <c r="BN40" s="157">
        <f t="shared" si="87"/>
        <v>0</v>
      </c>
      <c r="BO40" s="167" t="str">
        <f t="shared" si="88"/>
        <v>P1</v>
      </c>
      <c r="BP40" s="167" t="str">
        <f t="shared" si="89"/>
        <v>P2</v>
      </c>
      <c r="BQ40" s="167" t="str">
        <f t="shared" si="90"/>
        <v>CV</v>
      </c>
      <c r="BR40" s="167" t="str">
        <f t="shared" si="91"/>
        <v>CP</v>
      </c>
      <c r="BS40" s="167">
        <f t="shared" si="92"/>
        <v>0</v>
      </c>
      <c r="BT40" s="167">
        <f t="shared" si="93"/>
        <v>0</v>
      </c>
      <c r="BU40" s="167">
        <f t="shared" si="94"/>
        <v>25</v>
      </c>
      <c r="BV40" s="167">
        <f t="shared" si="95"/>
        <v>25</v>
      </c>
      <c r="BW40" s="167">
        <f t="shared" si="96"/>
        <v>0</v>
      </c>
      <c r="BX40" s="167">
        <f t="shared" si="97"/>
        <v>0</v>
      </c>
      <c r="BY40" s="167">
        <f t="shared" si="98"/>
        <v>0</v>
      </c>
      <c r="BZ40" s="167">
        <f t="shared" si="99"/>
        <v>0</v>
      </c>
      <c r="CA40" s="157" t="str">
        <f t="shared" si="100"/>
        <v>Midterm Exam</v>
      </c>
      <c r="CB40" s="157">
        <f t="shared" si="101"/>
        <v>40</v>
      </c>
      <c r="CC40" s="157">
        <f t="shared" si="102"/>
        <v>0</v>
      </c>
      <c r="CD40" s="157" t="str">
        <f t="shared" si="103"/>
        <v xml:space="preserve"> </v>
      </c>
      <c r="CE40" s="174" t="str">
        <f t="shared" si="104"/>
        <v>LO2</v>
      </c>
      <c r="CF40" s="175">
        <f t="shared" si="105"/>
        <v>0</v>
      </c>
      <c r="CG40" s="175">
        <f t="shared" si="106"/>
        <v>0</v>
      </c>
      <c r="CH40" s="175">
        <f t="shared" si="107"/>
        <v>0</v>
      </c>
      <c r="CI40" s="175">
        <f t="shared" si="108"/>
        <v>0</v>
      </c>
      <c r="CJ40" s="175">
        <f t="shared" si="109"/>
        <v>0</v>
      </c>
      <c r="CK40" s="175">
        <f t="shared" si="110"/>
        <v>25</v>
      </c>
      <c r="CL40" s="175">
        <f t="shared" si="111"/>
        <v>0</v>
      </c>
      <c r="CM40" s="175">
        <f t="shared" si="112"/>
        <v>0</v>
      </c>
      <c r="CN40" s="175">
        <f t="shared" si="113"/>
        <v>0</v>
      </c>
      <c r="CO40" s="153">
        <f t="shared" si="114"/>
        <v>0</v>
      </c>
      <c r="CP40" s="153">
        <f t="shared" si="115"/>
        <v>0</v>
      </c>
      <c r="CQ40" s="175" t="str">
        <f t="shared" si="116"/>
        <v>P3</v>
      </c>
      <c r="CR40" s="175">
        <f t="shared" si="117"/>
        <v>0</v>
      </c>
      <c r="CS40" s="175" t="str">
        <f t="shared" si="118"/>
        <v>LS</v>
      </c>
      <c r="CT40" s="175" t="str">
        <f t="shared" si="119"/>
        <v>B</v>
      </c>
      <c r="CU40" s="175">
        <f t="shared" si="120"/>
        <v>0</v>
      </c>
      <c r="CV40" s="175">
        <f t="shared" si="121"/>
        <v>0</v>
      </c>
      <c r="CW40" s="175">
        <f t="shared" si="122"/>
        <v>25</v>
      </c>
      <c r="CX40" s="153">
        <f t="shared" si="123"/>
        <v>0</v>
      </c>
      <c r="CY40" s="153">
        <f t="shared" si="124"/>
        <v>0</v>
      </c>
      <c r="CZ40" s="153">
        <f t="shared" si="125"/>
        <v>0</v>
      </c>
      <c r="DA40" s="153">
        <f t="shared" si="126"/>
        <v>0</v>
      </c>
      <c r="DB40" s="184">
        <f t="shared" si="127"/>
        <v>0</v>
      </c>
      <c r="DC40" s="167">
        <f t="shared" si="128"/>
        <v>25</v>
      </c>
      <c r="DD40" s="167" t="str">
        <f t="shared" si="129"/>
        <v>Final Exam</v>
      </c>
      <c r="DE40" s="157" t="str">
        <f t="shared" si="130"/>
        <v xml:space="preserve"> </v>
      </c>
      <c r="DF40" s="157">
        <f t="shared" si="131"/>
        <v>0</v>
      </c>
    </row>
    <row r="41" spans="2:110" s="113" customFormat="1" ht="26.25" customHeight="1" thickBot="1" x14ac:dyDescent="0.25">
      <c r="D41" s="106"/>
      <c r="E41" s="106"/>
      <c r="G41" s="92">
        <v>35</v>
      </c>
      <c r="H41" s="83"/>
      <c r="I41" s="84"/>
      <c r="J41" s="98"/>
      <c r="K41" s="103"/>
      <c r="L41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1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1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1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1" s="85"/>
      <c r="Q41" s="86"/>
      <c r="R41" s="86"/>
      <c r="S41" s="86"/>
      <c r="T41" s="86"/>
      <c r="U41" s="87"/>
      <c r="V41" s="88"/>
      <c r="W41" s="86"/>
      <c r="X41" s="86"/>
      <c r="Y41" s="86"/>
      <c r="Z41" s="86"/>
      <c r="AA41" s="87"/>
      <c r="AB41" s="89"/>
      <c r="AC41" s="90"/>
      <c r="AD41" s="88"/>
      <c r="AE41" s="88"/>
      <c r="AF41" s="88"/>
      <c r="AG41" s="86"/>
      <c r="AH41" s="86"/>
      <c r="AI41" s="87"/>
      <c r="AJ41" s="88"/>
      <c r="AK41" s="88"/>
      <c r="AL41" s="88"/>
      <c r="AM41" s="86"/>
      <c r="AN41" s="86"/>
      <c r="AO41" s="86"/>
      <c r="AP41" s="89"/>
      <c r="AQ41" s="90"/>
      <c r="AR41" s="151"/>
      <c r="AS41" s="158">
        <f t="shared" si="66"/>
        <v>0</v>
      </c>
      <c r="AT41" s="165">
        <f t="shared" si="67"/>
        <v>0.3</v>
      </c>
      <c r="AU41" s="165">
        <f t="shared" si="68"/>
        <v>0.4</v>
      </c>
      <c r="AV41" s="165">
        <f t="shared" si="69"/>
        <v>0.3</v>
      </c>
      <c r="AW41" s="165" t="str">
        <f t="shared" si="70"/>
        <v xml:space="preserve"> </v>
      </c>
      <c r="AX41" s="165">
        <f t="shared" si="71"/>
        <v>0.3</v>
      </c>
      <c r="AY41" s="165">
        <f t="shared" si="72"/>
        <v>0.4</v>
      </c>
      <c r="AZ41" s="165">
        <f t="shared" si="73"/>
        <v>0.15</v>
      </c>
      <c r="BA41" s="165">
        <f t="shared" si="74"/>
        <v>0.15</v>
      </c>
      <c r="BB41" s="165" t="str">
        <f t="shared" si="75"/>
        <v xml:space="preserve"> </v>
      </c>
      <c r="BC41" s="158" t="str">
        <f t="shared" si="76"/>
        <v>LO1</v>
      </c>
      <c r="BD41" s="158" t="str">
        <f t="shared" si="77"/>
        <v>Q1</v>
      </c>
      <c r="BE41" s="158">
        <f t="shared" si="78"/>
        <v>0</v>
      </c>
      <c r="BF41" s="158">
        <f t="shared" si="79"/>
        <v>0</v>
      </c>
      <c r="BG41" s="158">
        <f t="shared" si="80"/>
        <v>0</v>
      </c>
      <c r="BH41" s="158">
        <f t="shared" si="81"/>
        <v>0</v>
      </c>
      <c r="BI41" s="158">
        <f t="shared" si="82"/>
        <v>25</v>
      </c>
      <c r="BJ41" s="158">
        <f t="shared" si="83"/>
        <v>20</v>
      </c>
      <c r="BK41" s="158">
        <f t="shared" si="84"/>
        <v>0</v>
      </c>
      <c r="BL41" s="158">
        <f t="shared" si="85"/>
        <v>0</v>
      </c>
      <c r="BM41" s="158">
        <f t="shared" si="86"/>
        <v>0</v>
      </c>
      <c r="BN41" s="158">
        <f t="shared" si="87"/>
        <v>0</v>
      </c>
      <c r="BO41" s="168" t="str">
        <f t="shared" si="88"/>
        <v>P1</v>
      </c>
      <c r="BP41" s="168" t="str">
        <f t="shared" si="89"/>
        <v>P2</v>
      </c>
      <c r="BQ41" s="168" t="str">
        <f t="shared" si="90"/>
        <v>CV</v>
      </c>
      <c r="BR41" s="168" t="str">
        <f t="shared" si="91"/>
        <v>CP</v>
      </c>
      <c r="BS41" s="168">
        <f t="shared" si="92"/>
        <v>0</v>
      </c>
      <c r="BT41" s="168">
        <f t="shared" si="93"/>
        <v>0</v>
      </c>
      <c r="BU41" s="168">
        <f t="shared" si="94"/>
        <v>25</v>
      </c>
      <c r="BV41" s="168">
        <f t="shared" si="95"/>
        <v>25</v>
      </c>
      <c r="BW41" s="168">
        <f t="shared" si="96"/>
        <v>0</v>
      </c>
      <c r="BX41" s="168">
        <f t="shared" si="97"/>
        <v>0</v>
      </c>
      <c r="BY41" s="168">
        <f t="shared" si="98"/>
        <v>0</v>
      </c>
      <c r="BZ41" s="168">
        <f t="shared" si="99"/>
        <v>0</v>
      </c>
      <c r="CA41" s="158" t="str">
        <f t="shared" si="100"/>
        <v>Midterm Exam</v>
      </c>
      <c r="CB41" s="158">
        <f t="shared" si="101"/>
        <v>40</v>
      </c>
      <c r="CC41" s="158">
        <f t="shared" si="102"/>
        <v>0</v>
      </c>
      <c r="CD41" s="158" t="str">
        <f t="shared" si="103"/>
        <v xml:space="preserve"> </v>
      </c>
      <c r="CE41" s="176" t="str">
        <f t="shared" si="104"/>
        <v>LO2</v>
      </c>
      <c r="CF41" s="177">
        <f t="shared" si="105"/>
        <v>0</v>
      </c>
      <c r="CG41" s="177">
        <f t="shared" si="106"/>
        <v>0</v>
      </c>
      <c r="CH41" s="177">
        <f t="shared" si="107"/>
        <v>0</v>
      </c>
      <c r="CI41" s="177">
        <f t="shared" si="108"/>
        <v>0</v>
      </c>
      <c r="CJ41" s="177">
        <f t="shared" si="109"/>
        <v>0</v>
      </c>
      <c r="CK41" s="177">
        <f t="shared" si="110"/>
        <v>25</v>
      </c>
      <c r="CL41" s="177">
        <f t="shared" si="111"/>
        <v>0</v>
      </c>
      <c r="CM41" s="177">
        <f t="shared" si="112"/>
        <v>0</v>
      </c>
      <c r="CN41" s="177">
        <f t="shared" si="113"/>
        <v>0</v>
      </c>
      <c r="CO41" s="178">
        <f t="shared" si="114"/>
        <v>0</v>
      </c>
      <c r="CP41" s="178">
        <f t="shared" si="115"/>
        <v>0</v>
      </c>
      <c r="CQ41" s="177" t="str">
        <f t="shared" si="116"/>
        <v>P3</v>
      </c>
      <c r="CR41" s="177">
        <f t="shared" si="117"/>
        <v>0</v>
      </c>
      <c r="CS41" s="177" t="str">
        <f t="shared" si="118"/>
        <v>LS</v>
      </c>
      <c r="CT41" s="177" t="str">
        <f t="shared" si="119"/>
        <v>B</v>
      </c>
      <c r="CU41" s="177">
        <f t="shared" si="120"/>
        <v>0</v>
      </c>
      <c r="CV41" s="177">
        <f t="shared" si="121"/>
        <v>0</v>
      </c>
      <c r="CW41" s="177">
        <f t="shared" si="122"/>
        <v>25</v>
      </c>
      <c r="CX41" s="178">
        <f t="shared" si="123"/>
        <v>0</v>
      </c>
      <c r="CY41" s="178">
        <f t="shared" si="124"/>
        <v>0</v>
      </c>
      <c r="CZ41" s="178">
        <f t="shared" si="125"/>
        <v>0</v>
      </c>
      <c r="DA41" s="178">
        <f t="shared" si="126"/>
        <v>0</v>
      </c>
      <c r="DB41" s="185">
        <f t="shared" si="127"/>
        <v>0</v>
      </c>
      <c r="DC41" s="168">
        <f t="shared" si="128"/>
        <v>25</v>
      </c>
      <c r="DD41" s="168" t="str">
        <f t="shared" si="129"/>
        <v>Final Exam</v>
      </c>
      <c r="DE41" s="158" t="str">
        <f t="shared" si="130"/>
        <v xml:space="preserve"> </v>
      </c>
      <c r="DF41" s="158">
        <f t="shared" si="131"/>
        <v>0</v>
      </c>
    </row>
    <row r="42" spans="2:110" s="113" customFormat="1" ht="26.25" customHeight="1" thickTop="1" x14ac:dyDescent="0.2">
      <c r="D42" s="106"/>
      <c r="E42" s="106"/>
      <c r="G42" s="131">
        <v>36</v>
      </c>
      <c r="H42" s="75"/>
      <c r="I42" s="76"/>
      <c r="J42" s="99"/>
      <c r="K42" s="104"/>
      <c r="L42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2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2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2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2" s="77"/>
      <c r="Q42" s="78"/>
      <c r="R42" s="78"/>
      <c r="S42" s="78"/>
      <c r="T42" s="78"/>
      <c r="U42" s="79"/>
      <c r="V42" s="80"/>
      <c r="W42" s="78"/>
      <c r="X42" s="78"/>
      <c r="Y42" s="78"/>
      <c r="Z42" s="78"/>
      <c r="AA42" s="79"/>
      <c r="AB42" s="81"/>
      <c r="AC42" s="82"/>
      <c r="AD42" s="80"/>
      <c r="AE42" s="80"/>
      <c r="AF42" s="80"/>
      <c r="AG42" s="78"/>
      <c r="AH42" s="78"/>
      <c r="AI42" s="79"/>
      <c r="AJ42" s="80"/>
      <c r="AK42" s="80"/>
      <c r="AL42" s="80"/>
      <c r="AM42" s="78"/>
      <c r="AN42" s="78"/>
      <c r="AO42" s="78"/>
      <c r="AP42" s="81"/>
      <c r="AQ42" s="82"/>
      <c r="AR42" s="149"/>
      <c r="AS42" s="159">
        <f t="shared" si="66"/>
        <v>0</v>
      </c>
      <c r="AT42" s="162">
        <f t="shared" si="67"/>
        <v>0.3</v>
      </c>
      <c r="AU42" s="162">
        <f t="shared" si="68"/>
        <v>0.4</v>
      </c>
      <c r="AV42" s="162">
        <f t="shared" si="69"/>
        <v>0.3</v>
      </c>
      <c r="AW42" s="162" t="str">
        <f t="shared" si="70"/>
        <v xml:space="preserve"> </v>
      </c>
      <c r="AX42" s="162">
        <f t="shared" si="71"/>
        <v>0.3</v>
      </c>
      <c r="AY42" s="162">
        <f t="shared" si="72"/>
        <v>0.4</v>
      </c>
      <c r="AZ42" s="162">
        <f t="shared" si="73"/>
        <v>0.15</v>
      </c>
      <c r="BA42" s="162">
        <f t="shared" si="74"/>
        <v>0.15</v>
      </c>
      <c r="BB42" s="162" t="str">
        <f t="shared" si="75"/>
        <v xml:space="preserve"> </v>
      </c>
      <c r="BC42" s="159" t="str">
        <f t="shared" si="76"/>
        <v>LO1</v>
      </c>
      <c r="BD42" s="159" t="str">
        <f t="shared" si="77"/>
        <v>Q1</v>
      </c>
      <c r="BE42" s="159">
        <f t="shared" si="78"/>
        <v>0</v>
      </c>
      <c r="BF42" s="159">
        <f t="shared" si="79"/>
        <v>0</v>
      </c>
      <c r="BG42" s="159">
        <f t="shared" si="80"/>
        <v>0</v>
      </c>
      <c r="BH42" s="159">
        <f t="shared" si="81"/>
        <v>0</v>
      </c>
      <c r="BI42" s="159">
        <f t="shared" si="82"/>
        <v>25</v>
      </c>
      <c r="BJ42" s="159">
        <f t="shared" si="83"/>
        <v>20</v>
      </c>
      <c r="BK42" s="159">
        <f t="shared" si="84"/>
        <v>0</v>
      </c>
      <c r="BL42" s="159">
        <f t="shared" si="85"/>
        <v>0</v>
      </c>
      <c r="BM42" s="159">
        <f t="shared" si="86"/>
        <v>0</v>
      </c>
      <c r="BN42" s="159">
        <f t="shared" si="87"/>
        <v>0</v>
      </c>
      <c r="BO42" s="169" t="str">
        <f t="shared" si="88"/>
        <v>P1</v>
      </c>
      <c r="BP42" s="169" t="str">
        <f t="shared" si="89"/>
        <v>P2</v>
      </c>
      <c r="BQ42" s="169" t="str">
        <f t="shared" si="90"/>
        <v>CV</v>
      </c>
      <c r="BR42" s="169" t="str">
        <f t="shared" si="91"/>
        <v>CP</v>
      </c>
      <c r="BS42" s="169">
        <f t="shared" si="92"/>
        <v>0</v>
      </c>
      <c r="BT42" s="169">
        <f t="shared" si="93"/>
        <v>0</v>
      </c>
      <c r="BU42" s="169">
        <f t="shared" si="94"/>
        <v>25</v>
      </c>
      <c r="BV42" s="169">
        <f t="shared" si="95"/>
        <v>25</v>
      </c>
      <c r="BW42" s="169">
        <f t="shared" si="96"/>
        <v>0</v>
      </c>
      <c r="BX42" s="169">
        <f t="shared" si="97"/>
        <v>0</v>
      </c>
      <c r="BY42" s="169">
        <f t="shared" si="98"/>
        <v>0</v>
      </c>
      <c r="BZ42" s="169">
        <f t="shared" si="99"/>
        <v>0</v>
      </c>
      <c r="CA42" s="159" t="str">
        <f t="shared" si="100"/>
        <v>Midterm Exam</v>
      </c>
      <c r="CB42" s="159">
        <f t="shared" si="101"/>
        <v>40</v>
      </c>
      <c r="CC42" s="159">
        <f t="shared" si="102"/>
        <v>0</v>
      </c>
      <c r="CD42" s="159" t="str">
        <f t="shared" si="103"/>
        <v xml:space="preserve"> </v>
      </c>
      <c r="CE42" s="179" t="str">
        <f t="shared" si="104"/>
        <v>LO2</v>
      </c>
      <c r="CF42" s="180">
        <f t="shared" si="105"/>
        <v>0</v>
      </c>
      <c r="CG42" s="180">
        <f t="shared" si="106"/>
        <v>0</v>
      </c>
      <c r="CH42" s="180">
        <f t="shared" si="107"/>
        <v>0</v>
      </c>
      <c r="CI42" s="180">
        <f t="shared" si="108"/>
        <v>0</v>
      </c>
      <c r="CJ42" s="180">
        <f t="shared" si="109"/>
        <v>0</v>
      </c>
      <c r="CK42" s="180">
        <f t="shared" si="110"/>
        <v>25</v>
      </c>
      <c r="CL42" s="180">
        <f t="shared" si="111"/>
        <v>0</v>
      </c>
      <c r="CM42" s="180">
        <f t="shared" si="112"/>
        <v>0</v>
      </c>
      <c r="CN42" s="180">
        <f t="shared" si="113"/>
        <v>0</v>
      </c>
      <c r="CO42" s="154">
        <f t="shared" si="114"/>
        <v>0</v>
      </c>
      <c r="CP42" s="154">
        <f t="shared" si="115"/>
        <v>0</v>
      </c>
      <c r="CQ42" s="180" t="str">
        <f t="shared" si="116"/>
        <v>P3</v>
      </c>
      <c r="CR42" s="180">
        <f t="shared" si="117"/>
        <v>0</v>
      </c>
      <c r="CS42" s="180" t="str">
        <f t="shared" si="118"/>
        <v>LS</v>
      </c>
      <c r="CT42" s="180" t="str">
        <f t="shared" si="119"/>
        <v>B</v>
      </c>
      <c r="CU42" s="180">
        <f t="shared" si="120"/>
        <v>0</v>
      </c>
      <c r="CV42" s="180">
        <f t="shared" si="121"/>
        <v>0</v>
      </c>
      <c r="CW42" s="180">
        <f t="shared" si="122"/>
        <v>25</v>
      </c>
      <c r="CX42" s="154">
        <f t="shared" si="123"/>
        <v>0</v>
      </c>
      <c r="CY42" s="154">
        <f t="shared" si="124"/>
        <v>0</v>
      </c>
      <c r="CZ42" s="154">
        <f t="shared" si="125"/>
        <v>0</v>
      </c>
      <c r="DA42" s="154">
        <f t="shared" si="126"/>
        <v>0</v>
      </c>
      <c r="DB42" s="186">
        <f t="shared" si="127"/>
        <v>0</v>
      </c>
      <c r="DC42" s="169">
        <f t="shared" si="128"/>
        <v>25</v>
      </c>
      <c r="DD42" s="169" t="str">
        <f t="shared" si="129"/>
        <v>Final Exam</v>
      </c>
      <c r="DE42" s="159" t="str">
        <f t="shared" si="130"/>
        <v xml:space="preserve"> </v>
      </c>
      <c r="DF42" s="159">
        <f t="shared" si="131"/>
        <v>0</v>
      </c>
    </row>
    <row r="43" spans="2:110" s="113" customFormat="1" ht="26.25" customHeight="1" x14ac:dyDescent="0.2">
      <c r="D43" s="106"/>
      <c r="E43" s="106"/>
      <c r="G43" s="60">
        <v>37</v>
      </c>
      <c r="H43" s="66"/>
      <c r="I43" s="63"/>
      <c r="J43" s="97"/>
      <c r="K43" s="102"/>
      <c r="L43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3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3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3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3" s="40"/>
      <c r="Q43" s="41"/>
      <c r="R43" s="41"/>
      <c r="S43" s="41"/>
      <c r="T43" s="41"/>
      <c r="U43" s="42"/>
      <c r="V43" s="43"/>
      <c r="W43" s="41"/>
      <c r="X43" s="41"/>
      <c r="Y43" s="41"/>
      <c r="Z43" s="41"/>
      <c r="AA43" s="42"/>
      <c r="AB43" s="44"/>
      <c r="AC43" s="73"/>
      <c r="AD43" s="43"/>
      <c r="AE43" s="43"/>
      <c r="AF43" s="43"/>
      <c r="AG43" s="41"/>
      <c r="AH43" s="41"/>
      <c r="AI43" s="42"/>
      <c r="AJ43" s="43"/>
      <c r="AK43" s="43"/>
      <c r="AL43" s="43"/>
      <c r="AM43" s="41"/>
      <c r="AN43" s="41"/>
      <c r="AO43" s="41"/>
      <c r="AP43" s="44"/>
      <c r="AQ43" s="73"/>
      <c r="AR43" s="150"/>
      <c r="AS43" s="157">
        <f t="shared" si="66"/>
        <v>0</v>
      </c>
      <c r="AT43" s="161">
        <f t="shared" si="67"/>
        <v>0.3</v>
      </c>
      <c r="AU43" s="161">
        <f t="shared" si="68"/>
        <v>0.4</v>
      </c>
      <c r="AV43" s="161">
        <f t="shared" si="69"/>
        <v>0.3</v>
      </c>
      <c r="AW43" s="161" t="str">
        <f t="shared" si="70"/>
        <v xml:space="preserve"> </v>
      </c>
      <c r="AX43" s="161">
        <f t="shared" si="71"/>
        <v>0.3</v>
      </c>
      <c r="AY43" s="161">
        <f t="shared" si="72"/>
        <v>0.4</v>
      </c>
      <c r="AZ43" s="161">
        <f t="shared" si="73"/>
        <v>0.15</v>
      </c>
      <c r="BA43" s="161">
        <f t="shared" si="74"/>
        <v>0.15</v>
      </c>
      <c r="BB43" s="161" t="str">
        <f t="shared" si="75"/>
        <v xml:space="preserve"> </v>
      </c>
      <c r="BC43" s="157" t="str">
        <f t="shared" si="76"/>
        <v>LO1</v>
      </c>
      <c r="BD43" s="157" t="str">
        <f t="shared" si="77"/>
        <v>Q1</v>
      </c>
      <c r="BE43" s="157">
        <f t="shared" si="78"/>
        <v>0</v>
      </c>
      <c r="BF43" s="157">
        <f t="shared" si="79"/>
        <v>0</v>
      </c>
      <c r="BG43" s="157">
        <f t="shared" si="80"/>
        <v>0</v>
      </c>
      <c r="BH43" s="157">
        <f t="shared" si="81"/>
        <v>0</v>
      </c>
      <c r="BI43" s="157">
        <f t="shared" si="82"/>
        <v>25</v>
      </c>
      <c r="BJ43" s="157">
        <f t="shared" si="83"/>
        <v>20</v>
      </c>
      <c r="BK43" s="157">
        <f t="shared" si="84"/>
        <v>0</v>
      </c>
      <c r="BL43" s="157">
        <f t="shared" si="85"/>
        <v>0</v>
      </c>
      <c r="BM43" s="157">
        <f t="shared" si="86"/>
        <v>0</v>
      </c>
      <c r="BN43" s="157">
        <f t="shared" si="87"/>
        <v>0</v>
      </c>
      <c r="BO43" s="167" t="str">
        <f t="shared" si="88"/>
        <v>P1</v>
      </c>
      <c r="BP43" s="167" t="str">
        <f t="shared" si="89"/>
        <v>P2</v>
      </c>
      <c r="BQ43" s="167" t="str">
        <f t="shared" si="90"/>
        <v>CV</v>
      </c>
      <c r="BR43" s="167" t="str">
        <f t="shared" si="91"/>
        <v>CP</v>
      </c>
      <c r="BS43" s="167">
        <f t="shared" si="92"/>
        <v>0</v>
      </c>
      <c r="BT43" s="167">
        <f t="shared" si="93"/>
        <v>0</v>
      </c>
      <c r="BU43" s="167">
        <f t="shared" si="94"/>
        <v>25</v>
      </c>
      <c r="BV43" s="167">
        <f t="shared" si="95"/>
        <v>25</v>
      </c>
      <c r="BW43" s="167">
        <f t="shared" si="96"/>
        <v>0</v>
      </c>
      <c r="BX43" s="167">
        <f t="shared" si="97"/>
        <v>0</v>
      </c>
      <c r="BY43" s="167">
        <f t="shared" si="98"/>
        <v>0</v>
      </c>
      <c r="BZ43" s="167">
        <f t="shared" si="99"/>
        <v>0</v>
      </c>
      <c r="CA43" s="157" t="str">
        <f t="shared" si="100"/>
        <v>Midterm Exam</v>
      </c>
      <c r="CB43" s="157">
        <f t="shared" si="101"/>
        <v>40</v>
      </c>
      <c r="CC43" s="157">
        <f t="shared" si="102"/>
        <v>0</v>
      </c>
      <c r="CD43" s="157" t="str">
        <f t="shared" si="103"/>
        <v xml:space="preserve"> </v>
      </c>
      <c r="CE43" s="174" t="str">
        <f t="shared" si="104"/>
        <v>LO2</v>
      </c>
      <c r="CF43" s="175">
        <f t="shared" si="105"/>
        <v>0</v>
      </c>
      <c r="CG43" s="175">
        <f t="shared" si="106"/>
        <v>0</v>
      </c>
      <c r="CH43" s="175">
        <f t="shared" si="107"/>
        <v>0</v>
      </c>
      <c r="CI43" s="175">
        <f t="shared" si="108"/>
        <v>0</v>
      </c>
      <c r="CJ43" s="175">
        <f t="shared" si="109"/>
        <v>0</v>
      </c>
      <c r="CK43" s="175">
        <f t="shared" si="110"/>
        <v>25</v>
      </c>
      <c r="CL43" s="175">
        <f t="shared" si="111"/>
        <v>0</v>
      </c>
      <c r="CM43" s="175">
        <f t="shared" si="112"/>
        <v>0</v>
      </c>
      <c r="CN43" s="175">
        <f t="shared" si="113"/>
        <v>0</v>
      </c>
      <c r="CO43" s="153">
        <f t="shared" si="114"/>
        <v>0</v>
      </c>
      <c r="CP43" s="153">
        <f t="shared" si="115"/>
        <v>0</v>
      </c>
      <c r="CQ43" s="175" t="str">
        <f t="shared" si="116"/>
        <v>P3</v>
      </c>
      <c r="CR43" s="175">
        <f t="shared" si="117"/>
        <v>0</v>
      </c>
      <c r="CS43" s="175" t="str">
        <f t="shared" si="118"/>
        <v>LS</v>
      </c>
      <c r="CT43" s="175" t="str">
        <f t="shared" si="119"/>
        <v>B</v>
      </c>
      <c r="CU43" s="175">
        <f t="shared" si="120"/>
        <v>0</v>
      </c>
      <c r="CV43" s="175">
        <f t="shared" si="121"/>
        <v>0</v>
      </c>
      <c r="CW43" s="175">
        <f t="shared" si="122"/>
        <v>25</v>
      </c>
      <c r="CX43" s="153">
        <f t="shared" si="123"/>
        <v>0</v>
      </c>
      <c r="CY43" s="153">
        <f t="shared" si="124"/>
        <v>0</v>
      </c>
      <c r="CZ43" s="153">
        <f t="shared" si="125"/>
        <v>0</v>
      </c>
      <c r="DA43" s="153">
        <f t="shared" si="126"/>
        <v>0</v>
      </c>
      <c r="DB43" s="184">
        <f t="shared" si="127"/>
        <v>0</v>
      </c>
      <c r="DC43" s="167">
        <f t="shared" si="128"/>
        <v>25</v>
      </c>
      <c r="DD43" s="167" t="str">
        <f t="shared" si="129"/>
        <v>Final Exam</v>
      </c>
      <c r="DE43" s="157" t="str">
        <f t="shared" si="130"/>
        <v xml:space="preserve"> </v>
      </c>
      <c r="DF43" s="157">
        <f t="shared" si="131"/>
        <v>0</v>
      </c>
    </row>
    <row r="44" spans="2:110" s="113" customFormat="1" ht="26.25" customHeight="1" x14ac:dyDescent="0.2">
      <c r="D44" s="106"/>
      <c r="E44" s="106"/>
      <c r="G44" s="60">
        <v>38</v>
      </c>
      <c r="H44" s="66"/>
      <c r="I44" s="63"/>
      <c r="J44" s="97"/>
      <c r="K44" s="102"/>
      <c r="L44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4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4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4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4" s="40"/>
      <c r="Q44" s="41"/>
      <c r="R44" s="41"/>
      <c r="S44" s="41"/>
      <c r="T44" s="41"/>
      <c r="U44" s="42"/>
      <c r="V44" s="43"/>
      <c r="W44" s="41"/>
      <c r="X44" s="41"/>
      <c r="Y44" s="41"/>
      <c r="Z44" s="41"/>
      <c r="AA44" s="42"/>
      <c r="AB44" s="44"/>
      <c r="AC44" s="73"/>
      <c r="AD44" s="43"/>
      <c r="AE44" s="43"/>
      <c r="AF44" s="43"/>
      <c r="AG44" s="41"/>
      <c r="AH44" s="41"/>
      <c r="AI44" s="42"/>
      <c r="AJ44" s="43"/>
      <c r="AK44" s="43"/>
      <c r="AL44" s="43"/>
      <c r="AM44" s="41"/>
      <c r="AN44" s="41"/>
      <c r="AO44" s="41"/>
      <c r="AP44" s="44"/>
      <c r="AQ44" s="73"/>
      <c r="AR44" s="150"/>
      <c r="AS44" s="157">
        <f t="shared" si="66"/>
        <v>0</v>
      </c>
      <c r="AT44" s="161">
        <f t="shared" si="67"/>
        <v>0.3</v>
      </c>
      <c r="AU44" s="161">
        <f t="shared" si="68"/>
        <v>0.4</v>
      </c>
      <c r="AV44" s="161">
        <f t="shared" si="69"/>
        <v>0.3</v>
      </c>
      <c r="AW44" s="161" t="str">
        <f t="shared" si="70"/>
        <v xml:space="preserve"> </v>
      </c>
      <c r="AX44" s="161">
        <f t="shared" si="71"/>
        <v>0.3</v>
      </c>
      <c r="AY44" s="161">
        <f t="shared" si="72"/>
        <v>0.4</v>
      </c>
      <c r="AZ44" s="161">
        <f t="shared" si="73"/>
        <v>0.15</v>
      </c>
      <c r="BA44" s="161">
        <f t="shared" si="74"/>
        <v>0.15</v>
      </c>
      <c r="BB44" s="161" t="str">
        <f t="shared" si="75"/>
        <v xml:space="preserve"> </v>
      </c>
      <c r="BC44" s="157" t="str">
        <f t="shared" si="76"/>
        <v>LO1</v>
      </c>
      <c r="BD44" s="157" t="str">
        <f t="shared" si="77"/>
        <v>Q1</v>
      </c>
      <c r="BE44" s="157">
        <f t="shared" si="78"/>
        <v>0</v>
      </c>
      <c r="BF44" s="157">
        <f t="shared" si="79"/>
        <v>0</v>
      </c>
      <c r="BG44" s="157">
        <f t="shared" si="80"/>
        <v>0</v>
      </c>
      <c r="BH44" s="157">
        <f t="shared" si="81"/>
        <v>0</v>
      </c>
      <c r="BI44" s="157">
        <f t="shared" si="82"/>
        <v>25</v>
      </c>
      <c r="BJ44" s="157">
        <f t="shared" si="83"/>
        <v>20</v>
      </c>
      <c r="BK44" s="157">
        <f t="shared" si="84"/>
        <v>0</v>
      </c>
      <c r="BL44" s="157">
        <f t="shared" si="85"/>
        <v>0</v>
      </c>
      <c r="BM44" s="157">
        <f t="shared" si="86"/>
        <v>0</v>
      </c>
      <c r="BN44" s="157">
        <f t="shared" si="87"/>
        <v>0</v>
      </c>
      <c r="BO44" s="167" t="str">
        <f t="shared" si="88"/>
        <v>P1</v>
      </c>
      <c r="BP44" s="167" t="str">
        <f t="shared" si="89"/>
        <v>P2</v>
      </c>
      <c r="BQ44" s="167" t="str">
        <f t="shared" si="90"/>
        <v>CV</v>
      </c>
      <c r="BR44" s="167" t="str">
        <f t="shared" si="91"/>
        <v>CP</v>
      </c>
      <c r="BS44" s="167">
        <f t="shared" si="92"/>
        <v>0</v>
      </c>
      <c r="BT44" s="167">
        <f t="shared" si="93"/>
        <v>0</v>
      </c>
      <c r="BU44" s="167">
        <f t="shared" si="94"/>
        <v>25</v>
      </c>
      <c r="BV44" s="167">
        <f t="shared" si="95"/>
        <v>25</v>
      </c>
      <c r="BW44" s="167">
        <f t="shared" si="96"/>
        <v>0</v>
      </c>
      <c r="BX44" s="167">
        <f t="shared" si="97"/>
        <v>0</v>
      </c>
      <c r="BY44" s="167">
        <f t="shared" si="98"/>
        <v>0</v>
      </c>
      <c r="BZ44" s="167">
        <f t="shared" si="99"/>
        <v>0</v>
      </c>
      <c r="CA44" s="157" t="str">
        <f t="shared" si="100"/>
        <v>Midterm Exam</v>
      </c>
      <c r="CB44" s="157">
        <f t="shared" si="101"/>
        <v>40</v>
      </c>
      <c r="CC44" s="157">
        <f t="shared" si="102"/>
        <v>0</v>
      </c>
      <c r="CD44" s="157" t="str">
        <f t="shared" si="103"/>
        <v xml:space="preserve"> </v>
      </c>
      <c r="CE44" s="174" t="str">
        <f t="shared" si="104"/>
        <v>LO2</v>
      </c>
      <c r="CF44" s="175">
        <f t="shared" si="105"/>
        <v>0</v>
      </c>
      <c r="CG44" s="175">
        <f t="shared" si="106"/>
        <v>0</v>
      </c>
      <c r="CH44" s="175">
        <f t="shared" si="107"/>
        <v>0</v>
      </c>
      <c r="CI44" s="175">
        <f t="shared" si="108"/>
        <v>0</v>
      </c>
      <c r="CJ44" s="175">
        <f t="shared" si="109"/>
        <v>0</v>
      </c>
      <c r="CK44" s="175">
        <f t="shared" si="110"/>
        <v>25</v>
      </c>
      <c r="CL44" s="175">
        <f t="shared" si="111"/>
        <v>0</v>
      </c>
      <c r="CM44" s="175">
        <f t="shared" si="112"/>
        <v>0</v>
      </c>
      <c r="CN44" s="175">
        <f t="shared" si="113"/>
        <v>0</v>
      </c>
      <c r="CO44" s="153">
        <f t="shared" si="114"/>
        <v>0</v>
      </c>
      <c r="CP44" s="153">
        <f t="shared" si="115"/>
        <v>0</v>
      </c>
      <c r="CQ44" s="175" t="str">
        <f t="shared" si="116"/>
        <v>P3</v>
      </c>
      <c r="CR44" s="175">
        <f t="shared" si="117"/>
        <v>0</v>
      </c>
      <c r="CS44" s="175" t="str">
        <f t="shared" si="118"/>
        <v>LS</v>
      </c>
      <c r="CT44" s="175" t="str">
        <f t="shared" si="119"/>
        <v>B</v>
      </c>
      <c r="CU44" s="175">
        <f t="shared" si="120"/>
        <v>0</v>
      </c>
      <c r="CV44" s="175">
        <f t="shared" si="121"/>
        <v>0</v>
      </c>
      <c r="CW44" s="175">
        <f t="shared" si="122"/>
        <v>25</v>
      </c>
      <c r="CX44" s="153">
        <f t="shared" si="123"/>
        <v>0</v>
      </c>
      <c r="CY44" s="153">
        <f t="shared" si="124"/>
        <v>0</v>
      </c>
      <c r="CZ44" s="153">
        <f t="shared" si="125"/>
        <v>0</v>
      </c>
      <c r="DA44" s="153">
        <f t="shared" si="126"/>
        <v>0</v>
      </c>
      <c r="DB44" s="184">
        <f t="shared" si="127"/>
        <v>0</v>
      </c>
      <c r="DC44" s="167">
        <f t="shared" si="128"/>
        <v>25</v>
      </c>
      <c r="DD44" s="167" t="str">
        <f t="shared" si="129"/>
        <v>Final Exam</v>
      </c>
      <c r="DE44" s="157" t="str">
        <f t="shared" si="130"/>
        <v xml:space="preserve"> </v>
      </c>
      <c r="DF44" s="157">
        <f t="shared" si="131"/>
        <v>0</v>
      </c>
    </row>
    <row r="45" spans="2:110" s="113" customFormat="1" ht="26.25" customHeight="1" x14ac:dyDescent="0.2">
      <c r="D45" s="106"/>
      <c r="E45" s="106"/>
      <c r="G45" s="60">
        <v>39</v>
      </c>
      <c r="H45" s="66"/>
      <c r="I45" s="63"/>
      <c r="J45" s="97"/>
      <c r="K45" s="102"/>
      <c r="L45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5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5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5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5" s="40"/>
      <c r="Q45" s="41"/>
      <c r="R45" s="41"/>
      <c r="S45" s="41"/>
      <c r="T45" s="41"/>
      <c r="U45" s="42"/>
      <c r="V45" s="43"/>
      <c r="W45" s="41"/>
      <c r="X45" s="41"/>
      <c r="Y45" s="41"/>
      <c r="Z45" s="41"/>
      <c r="AA45" s="42"/>
      <c r="AB45" s="44"/>
      <c r="AC45" s="73"/>
      <c r="AD45" s="43"/>
      <c r="AE45" s="43"/>
      <c r="AF45" s="43"/>
      <c r="AG45" s="41"/>
      <c r="AH45" s="41"/>
      <c r="AI45" s="42"/>
      <c r="AJ45" s="43"/>
      <c r="AK45" s="43"/>
      <c r="AL45" s="43"/>
      <c r="AM45" s="41"/>
      <c r="AN45" s="41"/>
      <c r="AO45" s="41"/>
      <c r="AP45" s="44"/>
      <c r="AQ45" s="73"/>
      <c r="AR45" s="150"/>
      <c r="AS45" s="157">
        <f t="shared" si="66"/>
        <v>0</v>
      </c>
      <c r="AT45" s="161">
        <f t="shared" si="67"/>
        <v>0.3</v>
      </c>
      <c r="AU45" s="161">
        <f t="shared" si="68"/>
        <v>0.4</v>
      </c>
      <c r="AV45" s="161">
        <f t="shared" si="69"/>
        <v>0.3</v>
      </c>
      <c r="AW45" s="161" t="str">
        <f t="shared" si="70"/>
        <v xml:space="preserve"> </v>
      </c>
      <c r="AX45" s="161">
        <f t="shared" si="71"/>
        <v>0.3</v>
      </c>
      <c r="AY45" s="161">
        <f t="shared" si="72"/>
        <v>0.4</v>
      </c>
      <c r="AZ45" s="161">
        <f t="shared" si="73"/>
        <v>0.15</v>
      </c>
      <c r="BA45" s="161">
        <f t="shared" si="74"/>
        <v>0.15</v>
      </c>
      <c r="BB45" s="161" t="str">
        <f t="shared" si="75"/>
        <v xml:space="preserve"> </v>
      </c>
      <c r="BC45" s="157" t="str">
        <f t="shared" si="76"/>
        <v>LO1</v>
      </c>
      <c r="BD45" s="157" t="str">
        <f t="shared" si="77"/>
        <v>Q1</v>
      </c>
      <c r="BE45" s="157">
        <f t="shared" si="78"/>
        <v>0</v>
      </c>
      <c r="BF45" s="157">
        <f t="shared" si="79"/>
        <v>0</v>
      </c>
      <c r="BG45" s="157">
        <f t="shared" si="80"/>
        <v>0</v>
      </c>
      <c r="BH45" s="157">
        <f t="shared" si="81"/>
        <v>0</v>
      </c>
      <c r="BI45" s="157">
        <f t="shared" si="82"/>
        <v>25</v>
      </c>
      <c r="BJ45" s="157">
        <f t="shared" si="83"/>
        <v>20</v>
      </c>
      <c r="BK45" s="157">
        <f t="shared" si="84"/>
        <v>0</v>
      </c>
      <c r="BL45" s="157">
        <f t="shared" si="85"/>
        <v>0</v>
      </c>
      <c r="BM45" s="157">
        <f t="shared" si="86"/>
        <v>0</v>
      </c>
      <c r="BN45" s="157">
        <f t="shared" si="87"/>
        <v>0</v>
      </c>
      <c r="BO45" s="167" t="str">
        <f t="shared" si="88"/>
        <v>P1</v>
      </c>
      <c r="BP45" s="167" t="str">
        <f t="shared" si="89"/>
        <v>P2</v>
      </c>
      <c r="BQ45" s="167" t="str">
        <f t="shared" si="90"/>
        <v>CV</v>
      </c>
      <c r="BR45" s="167" t="str">
        <f t="shared" si="91"/>
        <v>CP</v>
      </c>
      <c r="BS45" s="167">
        <f t="shared" si="92"/>
        <v>0</v>
      </c>
      <c r="BT45" s="167">
        <f t="shared" si="93"/>
        <v>0</v>
      </c>
      <c r="BU45" s="167">
        <f t="shared" si="94"/>
        <v>25</v>
      </c>
      <c r="BV45" s="167">
        <f t="shared" si="95"/>
        <v>25</v>
      </c>
      <c r="BW45" s="167">
        <f t="shared" si="96"/>
        <v>0</v>
      </c>
      <c r="BX45" s="167">
        <f t="shared" si="97"/>
        <v>0</v>
      </c>
      <c r="BY45" s="167">
        <f t="shared" si="98"/>
        <v>0</v>
      </c>
      <c r="BZ45" s="167">
        <f t="shared" si="99"/>
        <v>0</v>
      </c>
      <c r="CA45" s="157" t="str">
        <f t="shared" si="100"/>
        <v>Midterm Exam</v>
      </c>
      <c r="CB45" s="157">
        <f t="shared" si="101"/>
        <v>40</v>
      </c>
      <c r="CC45" s="157">
        <f t="shared" si="102"/>
        <v>0</v>
      </c>
      <c r="CD45" s="157" t="str">
        <f t="shared" si="103"/>
        <v xml:space="preserve"> </v>
      </c>
      <c r="CE45" s="174" t="str">
        <f t="shared" si="104"/>
        <v>LO2</v>
      </c>
      <c r="CF45" s="175">
        <f t="shared" si="105"/>
        <v>0</v>
      </c>
      <c r="CG45" s="175">
        <f t="shared" si="106"/>
        <v>0</v>
      </c>
      <c r="CH45" s="175">
        <f t="shared" si="107"/>
        <v>0</v>
      </c>
      <c r="CI45" s="175">
        <f t="shared" si="108"/>
        <v>0</v>
      </c>
      <c r="CJ45" s="175">
        <f t="shared" si="109"/>
        <v>0</v>
      </c>
      <c r="CK45" s="175">
        <f t="shared" si="110"/>
        <v>25</v>
      </c>
      <c r="CL45" s="175">
        <f t="shared" si="111"/>
        <v>0</v>
      </c>
      <c r="CM45" s="175">
        <f t="shared" si="112"/>
        <v>0</v>
      </c>
      <c r="CN45" s="175">
        <f t="shared" si="113"/>
        <v>0</v>
      </c>
      <c r="CO45" s="153">
        <f t="shared" si="114"/>
        <v>0</v>
      </c>
      <c r="CP45" s="153">
        <f t="shared" si="115"/>
        <v>0</v>
      </c>
      <c r="CQ45" s="175" t="str">
        <f t="shared" si="116"/>
        <v>P3</v>
      </c>
      <c r="CR45" s="175">
        <f t="shared" si="117"/>
        <v>0</v>
      </c>
      <c r="CS45" s="175" t="str">
        <f t="shared" si="118"/>
        <v>LS</v>
      </c>
      <c r="CT45" s="175" t="str">
        <f t="shared" si="119"/>
        <v>B</v>
      </c>
      <c r="CU45" s="175">
        <f t="shared" si="120"/>
        <v>0</v>
      </c>
      <c r="CV45" s="175">
        <f t="shared" si="121"/>
        <v>0</v>
      </c>
      <c r="CW45" s="175">
        <f t="shared" si="122"/>
        <v>25</v>
      </c>
      <c r="CX45" s="153">
        <f t="shared" si="123"/>
        <v>0</v>
      </c>
      <c r="CY45" s="153">
        <f t="shared" si="124"/>
        <v>0</v>
      </c>
      <c r="CZ45" s="153">
        <f t="shared" si="125"/>
        <v>0</v>
      </c>
      <c r="DA45" s="153">
        <f t="shared" si="126"/>
        <v>0</v>
      </c>
      <c r="DB45" s="184">
        <f t="shared" si="127"/>
        <v>0</v>
      </c>
      <c r="DC45" s="167">
        <f t="shared" si="128"/>
        <v>25</v>
      </c>
      <c r="DD45" s="167" t="str">
        <f t="shared" si="129"/>
        <v>Final Exam</v>
      </c>
      <c r="DE45" s="157" t="str">
        <f t="shared" si="130"/>
        <v xml:space="preserve"> </v>
      </c>
      <c r="DF45" s="157">
        <f t="shared" si="131"/>
        <v>0</v>
      </c>
    </row>
    <row r="46" spans="2:110" s="113" customFormat="1" ht="26.25" customHeight="1" thickBot="1" x14ac:dyDescent="0.25">
      <c r="D46" s="106"/>
      <c r="E46" s="106"/>
      <c r="G46" s="92">
        <v>40</v>
      </c>
      <c r="H46" s="83"/>
      <c r="I46" s="84"/>
      <c r="J46" s="98"/>
      <c r="K46" s="103"/>
      <c r="L46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6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6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6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6" s="85"/>
      <c r="Q46" s="86"/>
      <c r="R46" s="86"/>
      <c r="S46" s="86"/>
      <c r="T46" s="86"/>
      <c r="U46" s="87"/>
      <c r="V46" s="88"/>
      <c r="W46" s="86"/>
      <c r="X46" s="86"/>
      <c r="Y46" s="86"/>
      <c r="Z46" s="86"/>
      <c r="AA46" s="87"/>
      <c r="AB46" s="89"/>
      <c r="AC46" s="90"/>
      <c r="AD46" s="88"/>
      <c r="AE46" s="88"/>
      <c r="AF46" s="88"/>
      <c r="AG46" s="86"/>
      <c r="AH46" s="86"/>
      <c r="AI46" s="87"/>
      <c r="AJ46" s="88"/>
      <c r="AK46" s="88"/>
      <c r="AL46" s="88"/>
      <c r="AM46" s="86"/>
      <c r="AN46" s="86"/>
      <c r="AO46" s="86"/>
      <c r="AP46" s="89"/>
      <c r="AQ46" s="90"/>
      <c r="AR46" s="151"/>
      <c r="AS46" s="158">
        <f t="shared" si="66"/>
        <v>0</v>
      </c>
      <c r="AT46" s="165">
        <f t="shared" si="67"/>
        <v>0.3</v>
      </c>
      <c r="AU46" s="165">
        <f t="shared" si="68"/>
        <v>0.4</v>
      </c>
      <c r="AV46" s="165">
        <f t="shared" si="69"/>
        <v>0.3</v>
      </c>
      <c r="AW46" s="165" t="str">
        <f t="shared" si="70"/>
        <v xml:space="preserve"> </v>
      </c>
      <c r="AX46" s="165">
        <f t="shared" si="71"/>
        <v>0.3</v>
      </c>
      <c r="AY46" s="165">
        <f t="shared" si="72"/>
        <v>0.4</v>
      </c>
      <c r="AZ46" s="165">
        <f t="shared" si="73"/>
        <v>0.15</v>
      </c>
      <c r="BA46" s="165">
        <f t="shared" si="74"/>
        <v>0.15</v>
      </c>
      <c r="BB46" s="165" t="str">
        <f t="shared" si="75"/>
        <v xml:space="preserve"> </v>
      </c>
      <c r="BC46" s="158" t="str">
        <f t="shared" si="76"/>
        <v>LO1</v>
      </c>
      <c r="BD46" s="158" t="str">
        <f t="shared" si="77"/>
        <v>Q1</v>
      </c>
      <c r="BE46" s="158">
        <f t="shared" si="78"/>
        <v>0</v>
      </c>
      <c r="BF46" s="158">
        <f t="shared" si="79"/>
        <v>0</v>
      </c>
      <c r="BG46" s="158">
        <f t="shared" si="80"/>
        <v>0</v>
      </c>
      <c r="BH46" s="158">
        <f t="shared" si="81"/>
        <v>0</v>
      </c>
      <c r="BI46" s="158">
        <f t="shared" si="82"/>
        <v>25</v>
      </c>
      <c r="BJ46" s="158">
        <f t="shared" si="83"/>
        <v>20</v>
      </c>
      <c r="BK46" s="158">
        <f t="shared" si="84"/>
        <v>0</v>
      </c>
      <c r="BL46" s="158">
        <f t="shared" si="85"/>
        <v>0</v>
      </c>
      <c r="BM46" s="158">
        <f t="shared" si="86"/>
        <v>0</v>
      </c>
      <c r="BN46" s="158">
        <f t="shared" si="87"/>
        <v>0</v>
      </c>
      <c r="BO46" s="168" t="str">
        <f t="shared" si="88"/>
        <v>P1</v>
      </c>
      <c r="BP46" s="168" t="str">
        <f t="shared" si="89"/>
        <v>P2</v>
      </c>
      <c r="BQ46" s="168" t="str">
        <f t="shared" si="90"/>
        <v>CV</v>
      </c>
      <c r="BR46" s="168" t="str">
        <f t="shared" si="91"/>
        <v>CP</v>
      </c>
      <c r="BS46" s="168">
        <f t="shared" si="92"/>
        <v>0</v>
      </c>
      <c r="BT46" s="168">
        <f t="shared" si="93"/>
        <v>0</v>
      </c>
      <c r="BU46" s="168">
        <f t="shared" si="94"/>
        <v>25</v>
      </c>
      <c r="BV46" s="168">
        <f t="shared" si="95"/>
        <v>25</v>
      </c>
      <c r="BW46" s="168">
        <f t="shared" si="96"/>
        <v>0</v>
      </c>
      <c r="BX46" s="168">
        <f t="shared" si="97"/>
        <v>0</v>
      </c>
      <c r="BY46" s="168">
        <f t="shared" si="98"/>
        <v>0</v>
      </c>
      <c r="BZ46" s="168">
        <f t="shared" si="99"/>
        <v>0</v>
      </c>
      <c r="CA46" s="158" t="str">
        <f t="shared" si="100"/>
        <v>Midterm Exam</v>
      </c>
      <c r="CB46" s="158">
        <f t="shared" si="101"/>
        <v>40</v>
      </c>
      <c r="CC46" s="158">
        <f t="shared" si="102"/>
        <v>0</v>
      </c>
      <c r="CD46" s="158" t="str">
        <f t="shared" si="103"/>
        <v xml:space="preserve"> </v>
      </c>
      <c r="CE46" s="176" t="str">
        <f t="shared" si="104"/>
        <v>LO2</v>
      </c>
      <c r="CF46" s="177">
        <f t="shared" si="105"/>
        <v>0</v>
      </c>
      <c r="CG46" s="177">
        <f t="shared" si="106"/>
        <v>0</v>
      </c>
      <c r="CH46" s="177">
        <f t="shared" si="107"/>
        <v>0</v>
      </c>
      <c r="CI46" s="177">
        <f t="shared" si="108"/>
        <v>0</v>
      </c>
      <c r="CJ46" s="177">
        <f t="shared" si="109"/>
        <v>0</v>
      </c>
      <c r="CK46" s="177">
        <f t="shared" si="110"/>
        <v>25</v>
      </c>
      <c r="CL46" s="177">
        <f t="shared" si="111"/>
        <v>0</v>
      </c>
      <c r="CM46" s="177">
        <f t="shared" si="112"/>
        <v>0</v>
      </c>
      <c r="CN46" s="177">
        <f t="shared" si="113"/>
        <v>0</v>
      </c>
      <c r="CO46" s="178">
        <f t="shared" si="114"/>
        <v>0</v>
      </c>
      <c r="CP46" s="178">
        <f t="shared" si="115"/>
        <v>0</v>
      </c>
      <c r="CQ46" s="177" t="str">
        <f t="shared" si="116"/>
        <v>P3</v>
      </c>
      <c r="CR46" s="177">
        <f t="shared" si="117"/>
        <v>0</v>
      </c>
      <c r="CS46" s="177" t="str">
        <f t="shared" si="118"/>
        <v>LS</v>
      </c>
      <c r="CT46" s="177" t="str">
        <f t="shared" si="119"/>
        <v>B</v>
      </c>
      <c r="CU46" s="177">
        <f t="shared" si="120"/>
        <v>0</v>
      </c>
      <c r="CV46" s="177">
        <f t="shared" si="121"/>
        <v>0</v>
      </c>
      <c r="CW46" s="177">
        <f t="shared" si="122"/>
        <v>25</v>
      </c>
      <c r="CX46" s="178">
        <f t="shared" si="123"/>
        <v>0</v>
      </c>
      <c r="CY46" s="178">
        <f t="shared" si="124"/>
        <v>0</v>
      </c>
      <c r="CZ46" s="178">
        <f t="shared" si="125"/>
        <v>0</v>
      </c>
      <c r="DA46" s="178">
        <f t="shared" si="126"/>
        <v>0</v>
      </c>
      <c r="DB46" s="185">
        <f t="shared" si="127"/>
        <v>0</v>
      </c>
      <c r="DC46" s="168">
        <f t="shared" si="128"/>
        <v>25</v>
      </c>
      <c r="DD46" s="168" t="str">
        <f t="shared" si="129"/>
        <v>Final Exam</v>
      </c>
      <c r="DE46" s="158" t="str">
        <f t="shared" si="130"/>
        <v xml:space="preserve"> </v>
      </c>
      <c r="DF46" s="158">
        <f t="shared" si="131"/>
        <v>0</v>
      </c>
    </row>
    <row r="47" spans="2:110" s="113" customFormat="1" ht="26.25" customHeight="1" thickTop="1" x14ac:dyDescent="0.2">
      <c r="D47" s="106"/>
      <c r="E47" s="106"/>
      <c r="G47" s="131">
        <v>41</v>
      </c>
      <c r="H47" s="75"/>
      <c r="I47" s="76"/>
      <c r="J47" s="99"/>
      <c r="K47" s="104"/>
      <c r="L47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7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7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7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7" s="77"/>
      <c r="Q47" s="78"/>
      <c r="R47" s="78"/>
      <c r="S47" s="78"/>
      <c r="T47" s="78"/>
      <c r="U47" s="79"/>
      <c r="V47" s="80"/>
      <c r="W47" s="78"/>
      <c r="X47" s="78"/>
      <c r="Y47" s="78"/>
      <c r="Z47" s="78"/>
      <c r="AA47" s="79"/>
      <c r="AB47" s="81"/>
      <c r="AC47" s="82"/>
      <c r="AD47" s="80"/>
      <c r="AE47" s="80"/>
      <c r="AF47" s="80"/>
      <c r="AG47" s="78"/>
      <c r="AH47" s="78"/>
      <c r="AI47" s="79"/>
      <c r="AJ47" s="80"/>
      <c r="AK47" s="80"/>
      <c r="AL47" s="80"/>
      <c r="AM47" s="78"/>
      <c r="AN47" s="78"/>
      <c r="AO47" s="78"/>
      <c r="AP47" s="81"/>
      <c r="AQ47" s="82"/>
      <c r="AR47" s="149"/>
      <c r="AS47" s="159">
        <f t="shared" si="66"/>
        <v>0</v>
      </c>
      <c r="AT47" s="162">
        <f t="shared" si="67"/>
        <v>0.3</v>
      </c>
      <c r="AU47" s="162">
        <f t="shared" si="68"/>
        <v>0.4</v>
      </c>
      <c r="AV47" s="162">
        <f t="shared" si="69"/>
        <v>0.3</v>
      </c>
      <c r="AW47" s="162" t="str">
        <f t="shared" si="70"/>
        <v xml:space="preserve"> </v>
      </c>
      <c r="AX47" s="162">
        <f t="shared" si="71"/>
        <v>0.3</v>
      </c>
      <c r="AY47" s="162">
        <f t="shared" si="72"/>
        <v>0.4</v>
      </c>
      <c r="AZ47" s="162">
        <f t="shared" si="73"/>
        <v>0.15</v>
      </c>
      <c r="BA47" s="162">
        <f t="shared" si="74"/>
        <v>0.15</v>
      </c>
      <c r="BB47" s="162" t="str">
        <f t="shared" si="75"/>
        <v xml:space="preserve"> </v>
      </c>
      <c r="BC47" s="159" t="str">
        <f t="shared" si="76"/>
        <v>LO1</v>
      </c>
      <c r="BD47" s="159" t="str">
        <f t="shared" si="77"/>
        <v>Q1</v>
      </c>
      <c r="BE47" s="159">
        <f t="shared" si="78"/>
        <v>0</v>
      </c>
      <c r="BF47" s="159">
        <f t="shared" si="79"/>
        <v>0</v>
      </c>
      <c r="BG47" s="159">
        <f t="shared" si="80"/>
        <v>0</v>
      </c>
      <c r="BH47" s="159">
        <f t="shared" si="81"/>
        <v>0</v>
      </c>
      <c r="BI47" s="159">
        <f t="shared" si="82"/>
        <v>25</v>
      </c>
      <c r="BJ47" s="159">
        <f t="shared" si="83"/>
        <v>20</v>
      </c>
      <c r="BK47" s="159">
        <f t="shared" si="84"/>
        <v>0</v>
      </c>
      <c r="BL47" s="159">
        <f t="shared" si="85"/>
        <v>0</v>
      </c>
      <c r="BM47" s="159">
        <f t="shared" si="86"/>
        <v>0</v>
      </c>
      <c r="BN47" s="159">
        <f t="shared" si="87"/>
        <v>0</v>
      </c>
      <c r="BO47" s="169" t="str">
        <f t="shared" si="88"/>
        <v>P1</v>
      </c>
      <c r="BP47" s="169" t="str">
        <f t="shared" si="89"/>
        <v>P2</v>
      </c>
      <c r="BQ47" s="169" t="str">
        <f t="shared" si="90"/>
        <v>CV</v>
      </c>
      <c r="BR47" s="169" t="str">
        <f t="shared" si="91"/>
        <v>CP</v>
      </c>
      <c r="BS47" s="169">
        <f t="shared" si="92"/>
        <v>0</v>
      </c>
      <c r="BT47" s="169">
        <f t="shared" si="93"/>
        <v>0</v>
      </c>
      <c r="BU47" s="169">
        <f t="shared" si="94"/>
        <v>25</v>
      </c>
      <c r="BV47" s="169">
        <f t="shared" si="95"/>
        <v>25</v>
      </c>
      <c r="BW47" s="169">
        <f t="shared" si="96"/>
        <v>0</v>
      </c>
      <c r="BX47" s="169">
        <f t="shared" si="97"/>
        <v>0</v>
      </c>
      <c r="BY47" s="169">
        <f t="shared" si="98"/>
        <v>0</v>
      </c>
      <c r="BZ47" s="169">
        <f t="shared" si="99"/>
        <v>0</v>
      </c>
      <c r="CA47" s="159" t="str">
        <f t="shared" si="100"/>
        <v>Midterm Exam</v>
      </c>
      <c r="CB47" s="159">
        <f t="shared" si="101"/>
        <v>40</v>
      </c>
      <c r="CC47" s="159">
        <f t="shared" si="102"/>
        <v>0</v>
      </c>
      <c r="CD47" s="159" t="str">
        <f t="shared" si="103"/>
        <v xml:space="preserve"> </v>
      </c>
      <c r="CE47" s="179" t="str">
        <f t="shared" si="104"/>
        <v>LO2</v>
      </c>
      <c r="CF47" s="180">
        <f t="shared" si="105"/>
        <v>0</v>
      </c>
      <c r="CG47" s="180">
        <f t="shared" si="106"/>
        <v>0</v>
      </c>
      <c r="CH47" s="180">
        <f t="shared" si="107"/>
        <v>0</v>
      </c>
      <c r="CI47" s="180">
        <f t="shared" si="108"/>
        <v>0</v>
      </c>
      <c r="CJ47" s="180">
        <f t="shared" si="109"/>
        <v>0</v>
      </c>
      <c r="CK47" s="180">
        <f t="shared" si="110"/>
        <v>25</v>
      </c>
      <c r="CL47" s="180">
        <f t="shared" si="111"/>
        <v>0</v>
      </c>
      <c r="CM47" s="180">
        <f t="shared" si="112"/>
        <v>0</v>
      </c>
      <c r="CN47" s="180">
        <f t="shared" si="113"/>
        <v>0</v>
      </c>
      <c r="CO47" s="154">
        <f t="shared" si="114"/>
        <v>0</v>
      </c>
      <c r="CP47" s="154">
        <f t="shared" si="115"/>
        <v>0</v>
      </c>
      <c r="CQ47" s="180" t="str">
        <f t="shared" si="116"/>
        <v>P3</v>
      </c>
      <c r="CR47" s="180">
        <f t="shared" si="117"/>
        <v>0</v>
      </c>
      <c r="CS47" s="180" t="str">
        <f t="shared" si="118"/>
        <v>LS</v>
      </c>
      <c r="CT47" s="180" t="str">
        <f t="shared" si="119"/>
        <v>B</v>
      </c>
      <c r="CU47" s="180">
        <f t="shared" si="120"/>
        <v>0</v>
      </c>
      <c r="CV47" s="180">
        <f t="shared" si="121"/>
        <v>0</v>
      </c>
      <c r="CW47" s="180">
        <f t="shared" si="122"/>
        <v>25</v>
      </c>
      <c r="CX47" s="154">
        <f t="shared" si="123"/>
        <v>0</v>
      </c>
      <c r="CY47" s="154">
        <f t="shared" si="124"/>
        <v>0</v>
      </c>
      <c r="CZ47" s="154">
        <f t="shared" si="125"/>
        <v>0</v>
      </c>
      <c r="DA47" s="154">
        <f t="shared" si="126"/>
        <v>0</v>
      </c>
      <c r="DB47" s="186">
        <f t="shared" si="127"/>
        <v>0</v>
      </c>
      <c r="DC47" s="169">
        <f t="shared" si="128"/>
        <v>25</v>
      </c>
      <c r="DD47" s="169" t="str">
        <f t="shared" si="129"/>
        <v>Final Exam</v>
      </c>
      <c r="DE47" s="159" t="str">
        <f t="shared" si="130"/>
        <v xml:space="preserve"> </v>
      </c>
      <c r="DF47" s="159">
        <f t="shared" si="131"/>
        <v>0</v>
      </c>
    </row>
    <row r="48" spans="2:110" s="113" customFormat="1" ht="26.25" customHeight="1" x14ac:dyDescent="0.2">
      <c r="D48" s="106"/>
      <c r="E48" s="106"/>
      <c r="G48" s="60">
        <v>42</v>
      </c>
      <c r="H48" s="66"/>
      <c r="I48" s="63"/>
      <c r="J48" s="97"/>
      <c r="K48" s="102"/>
      <c r="L48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8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8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8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8" s="40"/>
      <c r="Q48" s="41"/>
      <c r="R48" s="41"/>
      <c r="S48" s="41"/>
      <c r="T48" s="41"/>
      <c r="U48" s="42"/>
      <c r="V48" s="43"/>
      <c r="W48" s="41"/>
      <c r="X48" s="41"/>
      <c r="Y48" s="41"/>
      <c r="Z48" s="41"/>
      <c r="AA48" s="42"/>
      <c r="AB48" s="44"/>
      <c r="AC48" s="73"/>
      <c r="AD48" s="43"/>
      <c r="AE48" s="43"/>
      <c r="AF48" s="43"/>
      <c r="AG48" s="41"/>
      <c r="AH48" s="41"/>
      <c r="AI48" s="42"/>
      <c r="AJ48" s="43"/>
      <c r="AK48" s="43"/>
      <c r="AL48" s="43"/>
      <c r="AM48" s="41"/>
      <c r="AN48" s="41"/>
      <c r="AO48" s="41"/>
      <c r="AP48" s="44"/>
      <c r="AQ48" s="73"/>
      <c r="AR48" s="150"/>
      <c r="AS48" s="157">
        <f t="shared" si="66"/>
        <v>0</v>
      </c>
      <c r="AT48" s="161">
        <f t="shared" si="67"/>
        <v>0.3</v>
      </c>
      <c r="AU48" s="161">
        <f t="shared" si="68"/>
        <v>0.4</v>
      </c>
      <c r="AV48" s="161">
        <f t="shared" si="69"/>
        <v>0.3</v>
      </c>
      <c r="AW48" s="161" t="str">
        <f t="shared" si="70"/>
        <v xml:space="preserve"> </v>
      </c>
      <c r="AX48" s="161">
        <f t="shared" si="71"/>
        <v>0.3</v>
      </c>
      <c r="AY48" s="161">
        <f t="shared" si="72"/>
        <v>0.4</v>
      </c>
      <c r="AZ48" s="161">
        <f t="shared" si="73"/>
        <v>0.15</v>
      </c>
      <c r="BA48" s="161">
        <f t="shared" si="74"/>
        <v>0.15</v>
      </c>
      <c r="BB48" s="161" t="str">
        <f t="shared" si="75"/>
        <v xml:space="preserve"> </v>
      </c>
      <c r="BC48" s="157" t="str">
        <f t="shared" si="76"/>
        <v>LO1</v>
      </c>
      <c r="BD48" s="157" t="str">
        <f t="shared" si="77"/>
        <v>Q1</v>
      </c>
      <c r="BE48" s="157">
        <f t="shared" si="78"/>
        <v>0</v>
      </c>
      <c r="BF48" s="157">
        <f t="shared" si="79"/>
        <v>0</v>
      </c>
      <c r="BG48" s="157">
        <f t="shared" si="80"/>
        <v>0</v>
      </c>
      <c r="BH48" s="157">
        <f t="shared" si="81"/>
        <v>0</v>
      </c>
      <c r="BI48" s="157">
        <f t="shared" si="82"/>
        <v>25</v>
      </c>
      <c r="BJ48" s="157">
        <f t="shared" si="83"/>
        <v>20</v>
      </c>
      <c r="BK48" s="157">
        <f t="shared" si="84"/>
        <v>0</v>
      </c>
      <c r="BL48" s="157">
        <f t="shared" si="85"/>
        <v>0</v>
      </c>
      <c r="BM48" s="157">
        <f t="shared" si="86"/>
        <v>0</v>
      </c>
      <c r="BN48" s="157">
        <f t="shared" si="87"/>
        <v>0</v>
      </c>
      <c r="BO48" s="167" t="str">
        <f t="shared" si="88"/>
        <v>P1</v>
      </c>
      <c r="BP48" s="167" t="str">
        <f t="shared" si="89"/>
        <v>P2</v>
      </c>
      <c r="BQ48" s="167" t="str">
        <f t="shared" si="90"/>
        <v>CV</v>
      </c>
      <c r="BR48" s="167" t="str">
        <f t="shared" si="91"/>
        <v>CP</v>
      </c>
      <c r="BS48" s="167">
        <f t="shared" si="92"/>
        <v>0</v>
      </c>
      <c r="BT48" s="167">
        <f t="shared" si="93"/>
        <v>0</v>
      </c>
      <c r="BU48" s="167">
        <f t="shared" si="94"/>
        <v>25</v>
      </c>
      <c r="BV48" s="167">
        <f t="shared" si="95"/>
        <v>25</v>
      </c>
      <c r="BW48" s="167">
        <f t="shared" si="96"/>
        <v>0</v>
      </c>
      <c r="BX48" s="167">
        <f t="shared" si="97"/>
        <v>0</v>
      </c>
      <c r="BY48" s="167">
        <f t="shared" si="98"/>
        <v>0</v>
      </c>
      <c r="BZ48" s="167">
        <f t="shared" si="99"/>
        <v>0</v>
      </c>
      <c r="CA48" s="157" t="str">
        <f t="shared" si="100"/>
        <v>Midterm Exam</v>
      </c>
      <c r="CB48" s="157">
        <f t="shared" si="101"/>
        <v>40</v>
      </c>
      <c r="CC48" s="157">
        <f t="shared" si="102"/>
        <v>0</v>
      </c>
      <c r="CD48" s="157" t="str">
        <f t="shared" si="103"/>
        <v xml:space="preserve"> </v>
      </c>
      <c r="CE48" s="174" t="str">
        <f t="shared" si="104"/>
        <v>LO2</v>
      </c>
      <c r="CF48" s="175">
        <f t="shared" si="105"/>
        <v>0</v>
      </c>
      <c r="CG48" s="175">
        <f t="shared" si="106"/>
        <v>0</v>
      </c>
      <c r="CH48" s="175">
        <f t="shared" si="107"/>
        <v>0</v>
      </c>
      <c r="CI48" s="175">
        <f t="shared" si="108"/>
        <v>0</v>
      </c>
      <c r="CJ48" s="175">
        <f t="shared" si="109"/>
        <v>0</v>
      </c>
      <c r="CK48" s="175">
        <f t="shared" si="110"/>
        <v>25</v>
      </c>
      <c r="CL48" s="175">
        <f t="shared" si="111"/>
        <v>0</v>
      </c>
      <c r="CM48" s="175">
        <f t="shared" si="112"/>
        <v>0</v>
      </c>
      <c r="CN48" s="175">
        <f t="shared" si="113"/>
        <v>0</v>
      </c>
      <c r="CO48" s="153">
        <f t="shared" si="114"/>
        <v>0</v>
      </c>
      <c r="CP48" s="153">
        <f t="shared" si="115"/>
        <v>0</v>
      </c>
      <c r="CQ48" s="175" t="str">
        <f t="shared" si="116"/>
        <v>P3</v>
      </c>
      <c r="CR48" s="175">
        <f t="shared" si="117"/>
        <v>0</v>
      </c>
      <c r="CS48" s="175" t="str">
        <f t="shared" si="118"/>
        <v>LS</v>
      </c>
      <c r="CT48" s="175" t="str">
        <f t="shared" si="119"/>
        <v>B</v>
      </c>
      <c r="CU48" s="175">
        <f t="shared" si="120"/>
        <v>0</v>
      </c>
      <c r="CV48" s="175">
        <f t="shared" si="121"/>
        <v>0</v>
      </c>
      <c r="CW48" s="175">
        <f t="shared" si="122"/>
        <v>25</v>
      </c>
      <c r="CX48" s="153">
        <f t="shared" si="123"/>
        <v>0</v>
      </c>
      <c r="CY48" s="153">
        <f t="shared" si="124"/>
        <v>0</v>
      </c>
      <c r="CZ48" s="153">
        <f t="shared" si="125"/>
        <v>0</v>
      </c>
      <c r="DA48" s="153">
        <f t="shared" si="126"/>
        <v>0</v>
      </c>
      <c r="DB48" s="184">
        <f t="shared" si="127"/>
        <v>0</v>
      </c>
      <c r="DC48" s="167">
        <f t="shared" si="128"/>
        <v>25</v>
      </c>
      <c r="DD48" s="167" t="str">
        <f t="shared" si="129"/>
        <v>Final Exam</v>
      </c>
      <c r="DE48" s="157" t="str">
        <f t="shared" si="130"/>
        <v xml:space="preserve"> </v>
      </c>
      <c r="DF48" s="157">
        <f t="shared" si="131"/>
        <v>0</v>
      </c>
    </row>
    <row r="49" spans="4:110" s="113" customFormat="1" ht="26.25" customHeight="1" x14ac:dyDescent="0.2">
      <c r="D49" s="106"/>
      <c r="E49" s="106"/>
      <c r="G49" s="60">
        <v>43</v>
      </c>
      <c r="H49" s="66"/>
      <c r="I49" s="63"/>
      <c r="J49" s="97"/>
      <c r="K49" s="102"/>
      <c r="L49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49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49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49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49" s="40"/>
      <c r="Q49" s="41"/>
      <c r="R49" s="41"/>
      <c r="S49" s="41"/>
      <c r="T49" s="41"/>
      <c r="U49" s="42"/>
      <c r="V49" s="43"/>
      <c r="W49" s="41"/>
      <c r="X49" s="41"/>
      <c r="Y49" s="41"/>
      <c r="Z49" s="41"/>
      <c r="AA49" s="42"/>
      <c r="AB49" s="44"/>
      <c r="AC49" s="73"/>
      <c r="AD49" s="43"/>
      <c r="AE49" s="43"/>
      <c r="AF49" s="43"/>
      <c r="AG49" s="41"/>
      <c r="AH49" s="41"/>
      <c r="AI49" s="42"/>
      <c r="AJ49" s="43"/>
      <c r="AK49" s="43"/>
      <c r="AL49" s="43"/>
      <c r="AM49" s="41"/>
      <c r="AN49" s="41"/>
      <c r="AO49" s="41"/>
      <c r="AP49" s="44"/>
      <c r="AQ49" s="73"/>
      <c r="AR49" s="150"/>
      <c r="AS49" s="157">
        <f t="shared" si="66"/>
        <v>0</v>
      </c>
      <c r="AT49" s="161">
        <f t="shared" si="67"/>
        <v>0.3</v>
      </c>
      <c r="AU49" s="161">
        <f t="shared" si="68"/>
        <v>0.4</v>
      </c>
      <c r="AV49" s="161">
        <f t="shared" si="69"/>
        <v>0.3</v>
      </c>
      <c r="AW49" s="161" t="str">
        <f t="shared" si="70"/>
        <v xml:space="preserve"> </v>
      </c>
      <c r="AX49" s="161">
        <f t="shared" si="71"/>
        <v>0.3</v>
      </c>
      <c r="AY49" s="161">
        <f t="shared" si="72"/>
        <v>0.4</v>
      </c>
      <c r="AZ49" s="161">
        <f t="shared" si="73"/>
        <v>0.15</v>
      </c>
      <c r="BA49" s="161">
        <f t="shared" si="74"/>
        <v>0.15</v>
      </c>
      <c r="BB49" s="161" t="str">
        <f t="shared" si="75"/>
        <v xml:space="preserve"> </v>
      </c>
      <c r="BC49" s="157" t="str">
        <f t="shared" si="76"/>
        <v>LO1</v>
      </c>
      <c r="BD49" s="157" t="str">
        <f t="shared" si="77"/>
        <v>Q1</v>
      </c>
      <c r="BE49" s="157">
        <f t="shared" si="78"/>
        <v>0</v>
      </c>
      <c r="BF49" s="157">
        <f t="shared" si="79"/>
        <v>0</v>
      </c>
      <c r="BG49" s="157">
        <f t="shared" si="80"/>
        <v>0</v>
      </c>
      <c r="BH49" s="157">
        <f t="shared" si="81"/>
        <v>0</v>
      </c>
      <c r="BI49" s="157">
        <f t="shared" si="82"/>
        <v>25</v>
      </c>
      <c r="BJ49" s="157">
        <f t="shared" si="83"/>
        <v>20</v>
      </c>
      <c r="BK49" s="157">
        <f t="shared" si="84"/>
        <v>0</v>
      </c>
      <c r="BL49" s="157">
        <f t="shared" si="85"/>
        <v>0</v>
      </c>
      <c r="BM49" s="157">
        <f t="shared" si="86"/>
        <v>0</v>
      </c>
      <c r="BN49" s="157">
        <f t="shared" si="87"/>
        <v>0</v>
      </c>
      <c r="BO49" s="167" t="str">
        <f t="shared" si="88"/>
        <v>P1</v>
      </c>
      <c r="BP49" s="167" t="str">
        <f t="shared" si="89"/>
        <v>P2</v>
      </c>
      <c r="BQ49" s="167" t="str">
        <f t="shared" si="90"/>
        <v>CV</v>
      </c>
      <c r="BR49" s="167" t="str">
        <f t="shared" si="91"/>
        <v>CP</v>
      </c>
      <c r="BS49" s="167">
        <f t="shared" si="92"/>
        <v>0</v>
      </c>
      <c r="BT49" s="167">
        <f t="shared" si="93"/>
        <v>0</v>
      </c>
      <c r="BU49" s="167">
        <f t="shared" si="94"/>
        <v>25</v>
      </c>
      <c r="BV49" s="167">
        <f t="shared" si="95"/>
        <v>25</v>
      </c>
      <c r="BW49" s="167">
        <f t="shared" si="96"/>
        <v>0</v>
      </c>
      <c r="BX49" s="167">
        <f t="shared" si="97"/>
        <v>0</v>
      </c>
      <c r="BY49" s="167">
        <f t="shared" si="98"/>
        <v>0</v>
      </c>
      <c r="BZ49" s="167">
        <f t="shared" si="99"/>
        <v>0</v>
      </c>
      <c r="CA49" s="157" t="str">
        <f t="shared" si="100"/>
        <v>Midterm Exam</v>
      </c>
      <c r="CB49" s="157">
        <f t="shared" si="101"/>
        <v>40</v>
      </c>
      <c r="CC49" s="157">
        <f t="shared" si="102"/>
        <v>0</v>
      </c>
      <c r="CD49" s="157" t="str">
        <f t="shared" si="103"/>
        <v xml:space="preserve"> </v>
      </c>
      <c r="CE49" s="174" t="str">
        <f t="shared" si="104"/>
        <v>LO2</v>
      </c>
      <c r="CF49" s="175">
        <f t="shared" si="105"/>
        <v>0</v>
      </c>
      <c r="CG49" s="175">
        <f t="shared" si="106"/>
        <v>0</v>
      </c>
      <c r="CH49" s="175">
        <f t="shared" si="107"/>
        <v>0</v>
      </c>
      <c r="CI49" s="175">
        <f t="shared" si="108"/>
        <v>0</v>
      </c>
      <c r="CJ49" s="175">
        <f t="shared" si="109"/>
        <v>0</v>
      </c>
      <c r="CK49" s="175">
        <f t="shared" si="110"/>
        <v>25</v>
      </c>
      <c r="CL49" s="175">
        <f t="shared" si="111"/>
        <v>0</v>
      </c>
      <c r="CM49" s="175">
        <f t="shared" si="112"/>
        <v>0</v>
      </c>
      <c r="CN49" s="175">
        <f t="shared" si="113"/>
        <v>0</v>
      </c>
      <c r="CO49" s="153">
        <f t="shared" si="114"/>
        <v>0</v>
      </c>
      <c r="CP49" s="153">
        <f t="shared" si="115"/>
        <v>0</v>
      </c>
      <c r="CQ49" s="175" t="str">
        <f t="shared" si="116"/>
        <v>P3</v>
      </c>
      <c r="CR49" s="175">
        <f t="shared" si="117"/>
        <v>0</v>
      </c>
      <c r="CS49" s="175" t="str">
        <f t="shared" si="118"/>
        <v>LS</v>
      </c>
      <c r="CT49" s="175" t="str">
        <f t="shared" si="119"/>
        <v>B</v>
      </c>
      <c r="CU49" s="175">
        <f t="shared" si="120"/>
        <v>0</v>
      </c>
      <c r="CV49" s="175">
        <f t="shared" si="121"/>
        <v>0</v>
      </c>
      <c r="CW49" s="175">
        <f t="shared" si="122"/>
        <v>25</v>
      </c>
      <c r="CX49" s="153">
        <f t="shared" si="123"/>
        <v>0</v>
      </c>
      <c r="CY49" s="153">
        <f t="shared" si="124"/>
        <v>0</v>
      </c>
      <c r="CZ49" s="153">
        <f t="shared" si="125"/>
        <v>0</v>
      </c>
      <c r="DA49" s="153">
        <f t="shared" si="126"/>
        <v>0</v>
      </c>
      <c r="DB49" s="184">
        <f t="shared" si="127"/>
        <v>0</v>
      </c>
      <c r="DC49" s="167">
        <f t="shared" si="128"/>
        <v>25</v>
      </c>
      <c r="DD49" s="167" t="str">
        <f t="shared" si="129"/>
        <v>Final Exam</v>
      </c>
      <c r="DE49" s="157" t="str">
        <f t="shared" si="130"/>
        <v xml:space="preserve"> </v>
      </c>
      <c r="DF49" s="157">
        <f t="shared" si="131"/>
        <v>0</v>
      </c>
    </row>
    <row r="50" spans="4:110" s="113" customFormat="1" ht="26.25" customHeight="1" x14ac:dyDescent="0.2">
      <c r="D50" s="106"/>
      <c r="E50" s="106"/>
      <c r="G50" s="60">
        <v>44</v>
      </c>
      <c r="H50" s="66"/>
      <c r="I50" s="63"/>
      <c r="J50" s="97"/>
      <c r="K50" s="102"/>
      <c r="L50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50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50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50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50" s="40"/>
      <c r="Q50" s="41"/>
      <c r="R50" s="41"/>
      <c r="S50" s="41"/>
      <c r="T50" s="41"/>
      <c r="U50" s="42"/>
      <c r="V50" s="43"/>
      <c r="W50" s="41"/>
      <c r="X50" s="41"/>
      <c r="Y50" s="41"/>
      <c r="Z50" s="41"/>
      <c r="AA50" s="42"/>
      <c r="AB50" s="44"/>
      <c r="AC50" s="73"/>
      <c r="AD50" s="43"/>
      <c r="AE50" s="43"/>
      <c r="AF50" s="43"/>
      <c r="AG50" s="41"/>
      <c r="AH50" s="41"/>
      <c r="AI50" s="42"/>
      <c r="AJ50" s="43"/>
      <c r="AK50" s="43"/>
      <c r="AL50" s="43"/>
      <c r="AM50" s="41"/>
      <c r="AN50" s="41"/>
      <c r="AO50" s="41"/>
      <c r="AP50" s="44"/>
      <c r="AQ50" s="73"/>
      <c r="AR50" s="150"/>
      <c r="AS50" s="157">
        <f t="shared" si="66"/>
        <v>0</v>
      </c>
      <c r="AT50" s="161">
        <f t="shared" si="67"/>
        <v>0.3</v>
      </c>
      <c r="AU50" s="161">
        <f t="shared" si="68"/>
        <v>0.4</v>
      </c>
      <c r="AV50" s="161">
        <f t="shared" si="69"/>
        <v>0.3</v>
      </c>
      <c r="AW50" s="161" t="str">
        <f t="shared" si="70"/>
        <v xml:space="preserve"> </v>
      </c>
      <c r="AX50" s="161">
        <f t="shared" si="71"/>
        <v>0.3</v>
      </c>
      <c r="AY50" s="161">
        <f t="shared" si="72"/>
        <v>0.4</v>
      </c>
      <c r="AZ50" s="161">
        <f t="shared" si="73"/>
        <v>0.15</v>
      </c>
      <c r="BA50" s="161">
        <f t="shared" si="74"/>
        <v>0.15</v>
      </c>
      <c r="BB50" s="161" t="str">
        <f t="shared" si="75"/>
        <v xml:space="preserve"> </v>
      </c>
      <c r="BC50" s="157" t="str">
        <f t="shared" si="76"/>
        <v>LO1</v>
      </c>
      <c r="BD50" s="157" t="str">
        <f t="shared" si="77"/>
        <v>Q1</v>
      </c>
      <c r="BE50" s="157">
        <f t="shared" si="78"/>
        <v>0</v>
      </c>
      <c r="BF50" s="157">
        <f t="shared" si="79"/>
        <v>0</v>
      </c>
      <c r="BG50" s="157">
        <f t="shared" si="80"/>
        <v>0</v>
      </c>
      <c r="BH50" s="157">
        <f t="shared" si="81"/>
        <v>0</v>
      </c>
      <c r="BI50" s="157">
        <f t="shared" si="82"/>
        <v>25</v>
      </c>
      <c r="BJ50" s="157">
        <f t="shared" si="83"/>
        <v>20</v>
      </c>
      <c r="BK50" s="157">
        <f t="shared" si="84"/>
        <v>0</v>
      </c>
      <c r="BL50" s="157">
        <f t="shared" si="85"/>
        <v>0</v>
      </c>
      <c r="BM50" s="157">
        <f t="shared" si="86"/>
        <v>0</v>
      </c>
      <c r="BN50" s="157">
        <f t="shared" si="87"/>
        <v>0</v>
      </c>
      <c r="BO50" s="167" t="str">
        <f t="shared" si="88"/>
        <v>P1</v>
      </c>
      <c r="BP50" s="167" t="str">
        <f t="shared" si="89"/>
        <v>P2</v>
      </c>
      <c r="BQ50" s="167" t="str">
        <f t="shared" si="90"/>
        <v>CV</v>
      </c>
      <c r="BR50" s="167" t="str">
        <f t="shared" si="91"/>
        <v>CP</v>
      </c>
      <c r="BS50" s="167">
        <f t="shared" si="92"/>
        <v>0</v>
      </c>
      <c r="BT50" s="167">
        <f t="shared" si="93"/>
        <v>0</v>
      </c>
      <c r="BU50" s="167">
        <f t="shared" si="94"/>
        <v>25</v>
      </c>
      <c r="BV50" s="167">
        <f t="shared" si="95"/>
        <v>25</v>
      </c>
      <c r="BW50" s="167">
        <f t="shared" si="96"/>
        <v>0</v>
      </c>
      <c r="BX50" s="167">
        <f t="shared" si="97"/>
        <v>0</v>
      </c>
      <c r="BY50" s="167">
        <f t="shared" si="98"/>
        <v>0</v>
      </c>
      <c r="BZ50" s="167">
        <f t="shared" si="99"/>
        <v>0</v>
      </c>
      <c r="CA50" s="157" t="str">
        <f t="shared" si="100"/>
        <v>Midterm Exam</v>
      </c>
      <c r="CB50" s="157">
        <f t="shared" si="101"/>
        <v>40</v>
      </c>
      <c r="CC50" s="157">
        <f t="shared" si="102"/>
        <v>0</v>
      </c>
      <c r="CD50" s="157" t="str">
        <f t="shared" si="103"/>
        <v xml:space="preserve"> </v>
      </c>
      <c r="CE50" s="174" t="str">
        <f t="shared" si="104"/>
        <v>LO2</v>
      </c>
      <c r="CF50" s="175">
        <f t="shared" si="105"/>
        <v>0</v>
      </c>
      <c r="CG50" s="175">
        <f t="shared" si="106"/>
        <v>0</v>
      </c>
      <c r="CH50" s="175">
        <f t="shared" si="107"/>
        <v>0</v>
      </c>
      <c r="CI50" s="175">
        <f t="shared" si="108"/>
        <v>0</v>
      </c>
      <c r="CJ50" s="175">
        <f t="shared" si="109"/>
        <v>0</v>
      </c>
      <c r="CK50" s="175">
        <f t="shared" si="110"/>
        <v>25</v>
      </c>
      <c r="CL50" s="175">
        <f t="shared" si="111"/>
        <v>0</v>
      </c>
      <c r="CM50" s="175">
        <f t="shared" si="112"/>
        <v>0</v>
      </c>
      <c r="CN50" s="175">
        <f t="shared" si="113"/>
        <v>0</v>
      </c>
      <c r="CO50" s="153">
        <f t="shared" si="114"/>
        <v>0</v>
      </c>
      <c r="CP50" s="153">
        <f t="shared" si="115"/>
        <v>0</v>
      </c>
      <c r="CQ50" s="175" t="str">
        <f t="shared" si="116"/>
        <v>P3</v>
      </c>
      <c r="CR50" s="175">
        <f t="shared" si="117"/>
        <v>0</v>
      </c>
      <c r="CS50" s="175" t="str">
        <f t="shared" si="118"/>
        <v>LS</v>
      </c>
      <c r="CT50" s="175" t="str">
        <f t="shared" si="119"/>
        <v>B</v>
      </c>
      <c r="CU50" s="175">
        <f t="shared" si="120"/>
        <v>0</v>
      </c>
      <c r="CV50" s="175">
        <f t="shared" si="121"/>
        <v>0</v>
      </c>
      <c r="CW50" s="175">
        <f t="shared" si="122"/>
        <v>25</v>
      </c>
      <c r="CX50" s="153">
        <f t="shared" si="123"/>
        <v>0</v>
      </c>
      <c r="CY50" s="153">
        <f t="shared" si="124"/>
        <v>0</v>
      </c>
      <c r="CZ50" s="153">
        <f t="shared" si="125"/>
        <v>0</v>
      </c>
      <c r="DA50" s="153">
        <f t="shared" si="126"/>
        <v>0</v>
      </c>
      <c r="DB50" s="184">
        <f t="shared" si="127"/>
        <v>0</v>
      </c>
      <c r="DC50" s="167">
        <f t="shared" si="128"/>
        <v>25</v>
      </c>
      <c r="DD50" s="167" t="str">
        <f t="shared" si="129"/>
        <v>Final Exam</v>
      </c>
      <c r="DE50" s="157" t="str">
        <f t="shared" si="130"/>
        <v xml:space="preserve"> </v>
      </c>
      <c r="DF50" s="157">
        <f t="shared" si="131"/>
        <v>0</v>
      </c>
    </row>
    <row r="51" spans="4:110" s="113" customFormat="1" ht="26.25" customHeight="1" thickBot="1" x14ac:dyDescent="0.25">
      <c r="D51" s="106"/>
      <c r="E51" s="106"/>
      <c r="G51" s="92">
        <v>45</v>
      </c>
      <c r="H51" s="83"/>
      <c r="I51" s="84"/>
      <c r="J51" s="98"/>
      <c r="K51" s="103"/>
      <c r="L51" s="130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51" s="91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51" s="130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51" s="95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51" s="85"/>
      <c r="Q51" s="86"/>
      <c r="R51" s="86"/>
      <c r="S51" s="86"/>
      <c r="T51" s="86"/>
      <c r="U51" s="87"/>
      <c r="V51" s="88"/>
      <c r="W51" s="86"/>
      <c r="X51" s="86"/>
      <c r="Y51" s="86"/>
      <c r="Z51" s="86"/>
      <c r="AA51" s="87"/>
      <c r="AB51" s="89"/>
      <c r="AC51" s="90"/>
      <c r="AD51" s="88"/>
      <c r="AE51" s="88"/>
      <c r="AF51" s="88"/>
      <c r="AG51" s="86"/>
      <c r="AH51" s="86"/>
      <c r="AI51" s="87"/>
      <c r="AJ51" s="88"/>
      <c r="AK51" s="88"/>
      <c r="AL51" s="88"/>
      <c r="AM51" s="86"/>
      <c r="AN51" s="86"/>
      <c r="AO51" s="86"/>
      <c r="AP51" s="89"/>
      <c r="AQ51" s="90"/>
      <c r="AR51" s="151"/>
      <c r="AS51" s="158">
        <f t="shared" si="66"/>
        <v>0</v>
      </c>
      <c r="AT51" s="165">
        <f t="shared" si="67"/>
        <v>0.3</v>
      </c>
      <c r="AU51" s="165">
        <f t="shared" si="68"/>
        <v>0.4</v>
      </c>
      <c r="AV51" s="165">
        <f t="shared" si="69"/>
        <v>0.3</v>
      </c>
      <c r="AW51" s="165" t="str">
        <f t="shared" si="70"/>
        <v xml:space="preserve"> </v>
      </c>
      <c r="AX51" s="165">
        <f t="shared" si="71"/>
        <v>0.3</v>
      </c>
      <c r="AY51" s="165">
        <f t="shared" si="72"/>
        <v>0.4</v>
      </c>
      <c r="AZ51" s="165">
        <f t="shared" si="73"/>
        <v>0.15</v>
      </c>
      <c r="BA51" s="165">
        <f t="shared" si="74"/>
        <v>0.15</v>
      </c>
      <c r="BB51" s="165" t="str">
        <f t="shared" si="75"/>
        <v xml:space="preserve"> </v>
      </c>
      <c r="BC51" s="158" t="str">
        <f t="shared" si="76"/>
        <v>LO1</v>
      </c>
      <c r="BD51" s="158" t="str">
        <f t="shared" si="77"/>
        <v>Q1</v>
      </c>
      <c r="BE51" s="158">
        <f t="shared" si="78"/>
        <v>0</v>
      </c>
      <c r="BF51" s="158">
        <f t="shared" si="79"/>
        <v>0</v>
      </c>
      <c r="BG51" s="158">
        <f t="shared" si="80"/>
        <v>0</v>
      </c>
      <c r="BH51" s="158">
        <f t="shared" si="81"/>
        <v>0</v>
      </c>
      <c r="BI51" s="158">
        <f t="shared" si="82"/>
        <v>25</v>
      </c>
      <c r="BJ51" s="158">
        <f t="shared" si="83"/>
        <v>20</v>
      </c>
      <c r="BK51" s="158">
        <f t="shared" si="84"/>
        <v>0</v>
      </c>
      <c r="BL51" s="158">
        <f t="shared" si="85"/>
        <v>0</v>
      </c>
      <c r="BM51" s="158">
        <f t="shared" si="86"/>
        <v>0</v>
      </c>
      <c r="BN51" s="158">
        <f t="shared" si="87"/>
        <v>0</v>
      </c>
      <c r="BO51" s="168" t="str">
        <f t="shared" si="88"/>
        <v>P1</v>
      </c>
      <c r="BP51" s="168" t="str">
        <f t="shared" si="89"/>
        <v>P2</v>
      </c>
      <c r="BQ51" s="168" t="str">
        <f t="shared" si="90"/>
        <v>CV</v>
      </c>
      <c r="BR51" s="168" t="str">
        <f t="shared" si="91"/>
        <v>CP</v>
      </c>
      <c r="BS51" s="168">
        <f t="shared" si="92"/>
        <v>0</v>
      </c>
      <c r="BT51" s="168">
        <f t="shared" si="93"/>
        <v>0</v>
      </c>
      <c r="BU51" s="168">
        <f t="shared" si="94"/>
        <v>25</v>
      </c>
      <c r="BV51" s="168">
        <f t="shared" si="95"/>
        <v>25</v>
      </c>
      <c r="BW51" s="168">
        <f t="shared" si="96"/>
        <v>0</v>
      </c>
      <c r="BX51" s="168">
        <f t="shared" si="97"/>
        <v>0</v>
      </c>
      <c r="BY51" s="168">
        <f t="shared" si="98"/>
        <v>0</v>
      </c>
      <c r="BZ51" s="168">
        <f t="shared" si="99"/>
        <v>0</v>
      </c>
      <c r="CA51" s="158" t="str">
        <f t="shared" si="100"/>
        <v>Midterm Exam</v>
      </c>
      <c r="CB51" s="158">
        <f t="shared" si="101"/>
        <v>40</v>
      </c>
      <c r="CC51" s="158">
        <f t="shared" si="102"/>
        <v>0</v>
      </c>
      <c r="CD51" s="158" t="str">
        <f t="shared" si="103"/>
        <v xml:space="preserve"> </v>
      </c>
      <c r="CE51" s="176" t="str">
        <f t="shared" si="104"/>
        <v>LO2</v>
      </c>
      <c r="CF51" s="177">
        <f t="shared" si="105"/>
        <v>0</v>
      </c>
      <c r="CG51" s="177">
        <f t="shared" si="106"/>
        <v>0</v>
      </c>
      <c r="CH51" s="177">
        <f t="shared" si="107"/>
        <v>0</v>
      </c>
      <c r="CI51" s="177">
        <f t="shared" si="108"/>
        <v>0</v>
      </c>
      <c r="CJ51" s="177">
        <f t="shared" si="109"/>
        <v>0</v>
      </c>
      <c r="CK51" s="177">
        <f t="shared" si="110"/>
        <v>25</v>
      </c>
      <c r="CL51" s="177">
        <f t="shared" si="111"/>
        <v>0</v>
      </c>
      <c r="CM51" s="177">
        <f t="shared" si="112"/>
        <v>0</v>
      </c>
      <c r="CN51" s="177">
        <f t="shared" si="113"/>
        <v>0</v>
      </c>
      <c r="CO51" s="178">
        <f t="shared" si="114"/>
        <v>0</v>
      </c>
      <c r="CP51" s="178">
        <f t="shared" si="115"/>
        <v>0</v>
      </c>
      <c r="CQ51" s="177" t="str">
        <f t="shared" si="116"/>
        <v>P3</v>
      </c>
      <c r="CR51" s="177">
        <f t="shared" si="117"/>
        <v>0</v>
      </c>
      <c r="CS51" s="177" t="str">
        <f t="shared" si="118"/>
        <v>LS</v>
      </c>
      <c r="CT51" s="177" t="str">
        <f t="shared" si="119"/>
        <v>B</v>
      </c>
      <c r="CU51" s="177">
        <f t="shared" si="120"/>
        <v>0</v>
      </c>
      <c r="CV51" s="177">
        <f t="shared" si="121"/>
        <v>0</v>
      </c>
      <c r="CW51" s="177">
        <f t="shared" si="122"/>
        <v>25</v>
      </c>
      <c r="CX51" s="178">
        <f t="shared" si="123"/>
        <v>0</v>
      </c>
      <c r="CY51" s="178">
        <f t="shared" si="124"/>
        <v>0</v>
      </c>
      <c r="CZ51" s="178">
        <f t="shared" si="125"/>
        <v>0</v>
      </c>
      <c r="DA51" s="178">
        <f t="shared" si="126"/>
        <v>0</v>
      </c>
      <c r="DB51" s="185">
        <f t="shared" si="127"/>
        <v>0</v>
      </c>
      <c r="DC51" s="168">
        <f t="shared" si="128"/>
        <v>25</v>
      </c>
      <c r="DD51" s="168" t="str">
        <f t="shared" si="129"/>
        <v>Final Exam</v>
      </c>
      <c r="DE51" s="158" t="str">
        <f t="shared" si="130"/>
        <v xml:space="preserve"> </v>
      </c>
      <c r="DF51" s="158">
        <f t="shared" si="131"/>
        <v>0</v>
      </c>
    </row>
    <row r="52" spans="4:110" s="113" customFormat="1" ht="26.25" customHeight="1" thickTop="1" x14ac:dyDescent="0.2">
      <c r="D52" s="106"/>
      <c r="E52" s="106"/>
      <c r="G52" s="131">
        <v>46</v>
      </c>
      <c r="H52" s="75"/>
      <c r="I52" s="76"/>
      <c r="J52" s="99"/>
      <c r="K52" s="104"/>
      <c r="L52" s="132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52" s="133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52" s="132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52" s="13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52" s="77"/>
      <c r="Q52" s="78"/>
      <c r="R52" s="78"/>
      <c r="S52" s="78"/>
      <c r="T52" s="78"/>
      <c r="U52" s="79"/>
      <c r="V52" s="80"/>
      <c r="W52" s="78"/>
      <c r="X52" s="78"/>
      <c r="Y52" s="78"/>
      <c r="Z52" s="78"/>
      <c r="AA52" s="79"/>
      <c r="AB52" s="81"/>
      <c r="AC52" s="82"/>
      <c r="AD52" s="80"/>
      <c r="AE52" s="80"/>
      <c r="AF52" s="80"/>
      <c r="AG52" s="78"/>
      <c r="AH52" s="78"/>
      <c r="AI52" s="79"/>
      <c r="AJ52" s="80"/>
      <c r="AK52" s="80"/>
      <c r="AL52" s="80"/>
      <c r="AM52" s="78"/>
      <c r="AN52" s="78"/>
      <c r="AO52" s="78"/>
      <c r="AP52" s="81"/>
      <c r="AQ52" s="82"/>
      <c r="AR52" s="149"/>
      <c r="AS52" s="159">
        <f t="shared" si="66"/>
        <v>0</v>
      </c>
      <c r="AT52" s="162">
        <f t="shared" si="67"/>
        <v>0.3</v>
      </c>
      <c r="AU52" s="162">
        <f t="shared" si="68"/>
        <v>0.4</v>
      </c>
      <c r="AV52" s="162">
        <f t="shared" si="69"/>
        <v>0.3</v>
      </c>
      <c r="AW52" s="162" t="str">
        <f t="shared" si="70"/>
        <v xml:space="preserve"> </v>
      </c>
      <c r="AX52" s="162">
        <f t="shared" si="71"/>
        <v>0.3</v>
      </c>
      <c r="AY52" s="162">
        <f t="shared" si="72"/>
        <v>0.4</v>
      </c>
      <c r="AZ52" s="162">
        <f t="shared" si="73"/>
        <v>0.15</v>
      </c>
      <c r="BA52" s="162">
        <f t="shared" si="74"/>
        <v>0.15</v>
      </c>
      <c r="BB52" s="162" t="str">
        <f t="shared" si="75"/>
        <v xml:space="preserve"> </v>
      </c>
      <c r="BC52" s="159" t="str">
        <f t="shared" si="76"/>
        <v>LO1</v>
      </c>
      <c r="BD52" s="159" t="str">
        <f t="shared" si="77"/>
        <v>Q1</v>
      </c>
      <c r="BE52" s="159">
        <f t="shared" si="78"/>
        <v>0</v>
      </c>
      <c r="BF52" s="159">
        <f t="shared" si="79"/>
        <v>0</v>
      </c>
      <c r="BG52" s="159">
        <f t="shared" si="80"/>
        <v>0</v>
      </c>
      <c r="BH52" s="159">
        <f t="shared" si="81"/>
        <v>0</v>
      </c>
      <c r="BI52" s="159">
        <f t="shared" si="82"/>
        <v>25</v>
      </c>
      <c r="BJ52" s="159">
        <f t="shared" si="83"/>
        <v>20</v>
      </c>
      <c r="BK52" s="159">
        <f t="shared" si="84"/>
        <v>0</v>
      </c>
      <c r="BL52" s="159">
        <f t="shared" si="85"/>
        <v>0</v>
      </c>
      <c r="BM52" s="159">
        <f t="shared" si="86"/>
        <v>0</v>
      </c>
      <c r="BN52" s="159">
        <f t="shared" si="87"/>
        <v>0</v>
      </c>
      <c r="BO52" s="169" t="str">
        <f t="shared" si="88"/>
        <v>P1</v>
      </c>
      <c r="BP52" s="169" t="str">
        <f t="shared" si="89"/>
        <v>P2</v>
      </c>
      <c r="BQ52" s="169" t="str">
        <f t="shared" si="90"/>
        <v>CV</v>
      </c>
      <c r="BR52" s="169" t="str">
        <f t="shared" si="91"/>
        <v>CP</v>
      </c>
      <c r="BS52" s="169">
        <f t="shared" si="92"/>
        <v>0</v>
      </c>
      <c r="BT52" s="169">
        <f t="shared" si="93"/>
        <v>0</v>
      </c>
      <c r="BU52" s="169">
        <f t="shared" si="94"/>
        <v>25</v>
      </c>
      <c r="BV52" s="169">
        <f t="shared" si="95"/>
        <v>25</v>
      </c>
      <c r="BW52" s="169">
        <f t="shared" si="96"/>
        <v>0</v>
      </c>
      <c r="BX52" s="169">
        <f t="shared" si="97"/>
        <v>0</v>
      </c>
      <c r="BY52" s="169">
        <f t="shared" si="98"/>
        <v>0</v>
      </c>
      <c r="BZ52" s="169">
        <f t="shared" si="99"/>
        <v>0</v>
      </c>
      <c r="CA52" s="159" t="str">
        <f t="shared" si="100"/>
        <v>Midterm Exam</v>
      </c>
      <c r="CB52" s="159">
        <f t="shared" si="101"/>
        <v>40</v>
      </c>
      <c r="CC52" s="159">
        <f t="shared" si="102"/>
        <v>0</v>
      </c>
      <c r="CD52" s="159" t="str">
        <f t="shared" si="103"/>
        <v xml:space="preserve"> </v>
      </c>
      <c r="CE52" s="179" t="str">
        <f t="shared" si="104"/>
        <v>LO2</v>
      </c>
      <c r="CF52" s="180">
        <f t="shared" si="105"/>
        <v>0</v>
      </c>
      <c r="CG52" s="180">
        <f t="shared" si="106"/>
        <v>0</v>
      </c>
      <c r="CH52" s="180">
        <f t="shared" si="107"/>
        <v>0</v>
      </c>
      <c r="CI52" s="180">
        <f t="shared" si="108"/>
        <v>0</v>
      </c>
      <c r="CJ52" s="180">
        <f t="shared" si="109"/>
        <v>0</v>
      </c>
      <c r="CK52" s="180">
        <f t="shared" si="110"/>
        <v>25</v>
      </c>
      <c r="CL52" s="180">
        <f t="shared" si="111"/>
        <v>0</v>
      </c>
      <c r="CM52" s="180">
        <f t="shared" si="112"/>
        <v>0</v>
      </c>
      <c r="CN52" s="180">
        <f t="shared" si="113"/>
        <v>0</v>
      </c>
      <c r="CO52" s="154">
        <f t="shared" si="114"/>
        <v>0</v>
      </c>
      <c r="CP52" s="154">
        <f t="shared" si="115"/>
        <v>0</v>
      </c>
      <c r="CQ52" s="180" t="str">
        <f t="shared" si="116"/>
        <v>P3</v>
      </c>
      <c r="CR52" s="180">
        <f t="shared" si="117"/>
        <v>0</v>
      </c>
      <c r="CS52" s="180" t="str">
        <f t="shared" si="118"/>
        <v>LS</v>
      </c>
      <c r="CT52" s="180" t="str">
        <f t="shared" si="119"/>
        <v>B</v>
      </c>
      <c r="CU52" s="180">
        <f t="shared" si="120"/>
        <v>0</v>
      </c>
      <c r="CV52" s="180">
        <f t="shared" si="121"/>
        <v>0</v>
      </c>
      <c r="CW52" s="180">
        <f t="shared" si="122"/>
        <v>25</v>
      </c>
      <c r="CX52" s="154">
        <f t="shared" si="123"/>
        <v>0</v>
      </c>
      <c r="CY52" s="154">
        <f t="shared" si="124"/>
        <v>0</v>
      </c>
      <c r="CZ52" s="154">
        <f t="shared" si="125"/>
        <v>0</v>
      </c>
      <c r="DA52" s="154">
        <f t="shared" si="126"/>
        <v>0</v>
      </c>
      <c r="DB52" s="186">
        <f t="shared" si="127"/>
        <v>0</v>
      </c>
      <c r="DC52" s="169">
        <f t="shared" si="128"/>
        <v>25</v>
      </c>
      <c r="DD52" s="169" t="str">
        <f t="shared" si="129"/>
        <v>Final Exam</v>
      </c>
      <c r="DE52" s="159" t="str">
        <f t="shared" si="130"/>
        <v xml:space="preserve"> </v>
      </c>
      <c r="DF52" s="159">
        <f t="shared" si="131"/>
        <v>0</v>
      </c>
    </row>
    <row r="53" spans="4:110" s="113" customFormat="1" ht="26.25" customHeight="1" x14ac:dyDescent="0.2">
      <c r="D53" s="106"/>
      <c r="E53" s="106"/>
      <c r="G53" s="60">
        <v>47</v>
      </c>
      <c r="H53" s="66"/>
      <c r="I53" s="63"/>
      <c r="J53" s="97"/>
      <c r="K53" s="102"/>
      <c r="L53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53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53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53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53" s="40"/>
      <c r="Q53" s="41"/>
      <c r="R53" s="41"/>
      <c r="S53" s="41"/>
      <c r="T53" s="41"/>
      <c r="U53" s="42"/>
      <c r="V53" s="43"/>
      <c r="W53" s="41"/>
      <c r="X53" s="41"/>
      <c r="Y53" s="41"/>
      <c r="Z53" s="41"/>
      <c r="AA53" s="42"/>
      <c r="AB53" s="44"/>
      <c r="AC53" s="73"/>
      <c r="AD53" s="43"/>
      <c r="AE53" s="43"/>
      <c r="AF53" s="43"/>
      <c r="AG53" s="41"/>
      <c r="AH53" s="41"/>
      <c r="AI53" s="42"/>
      <c r="AJ53" s="43"/>
      <c r="AK53" s="43"/>
      <c r="AL53" s="43"/>
      <c r="AM53" s="41"/>
      <c r="AN53" s="41"/>
      <c r="AO53" s="41"/>
      <c r="AP53" s="44"/>
      <c r="AQ53" s="73"/>
      <c r="AR53" s="150"/>
      <c r="AS53" s="157">
        <f t="shared" si="66"/>
        <v>0</v>
      </c>
      <c r="AT53" s="161">
        <f t="shared" si="67"/>
        <v>0.3</v>
      </c>
      <c r="AU53" s="161">
        <f t="shared" si="68"/>
        <v>0.4</v>
      </c>
      <c r="AV53" s="161">
        <f t="shared" si="69"/>
        <v>0.3</v>
      </c>
      <c r="AW53" s="161" t="str">
        <f t="shared" si="70"/>
        <v xml:space="preserve"> </v>
      </c>
      <c r="AX53" s="161">
        <f t="shared" si="71"/>
        <v>0.3</v>
      </c>
      <c r="AY53" s="161">
        <f t="shared" si="72"/>
        <v>0.4</v>
      </c>
      <c r="AZ53" s="161">
        <f t="shared" si="73"/>
        <v>0.15</v>
      </c>
      <c r="BA53" s="161">
        <f t="shared" si="74"/>
        <v>0.15</v>
      </c>
      <c r="BB53" s="161" t="str">
        <f t="shared" si="75"/>
        <v xml:space="preserve"> </v>
      </c>
      <c r="BC53" s="157" t="str">
        <f t="shared" si="76"/>
        <v>LO1</v>
      </c>
      <c r="BD53" s="157" t="str">
        <f t="shared" si="77"/>
        <v>Q1</v>
      </c>
      <c r="BE53" s="157">
        <f t="shared" si="78"/>
        <v>0</v>
      </c>
      <c r="BF53" s="157">
        <f t="shared" si="79"/>
        <v>0</v>
      </c>
      <c r="BG53" s="157">
        <f t="shared" si="80"/>
        <v>0</v>
      </c>
      <c r="BH53" s="157">
        <f t="shared" si="81"/>
        <v>0</v>
      </c>
      <c r="BI53" s="157">
        <f t="shared" si="82"/>
        <v>25</v>
      </c>
      <c r="BJ53" s="157">
        <f t="shared" si="83"/>
        <v>20</v>
      </c>
      <c r="BK53" s="157">
        <f t="shared" si="84"/>
        <v>0</v>
      </c>
      <c r="BL53" s="157">
        <f t="shared" si="85"/>
        <v>0</v>
      </c>
      <c r="BM53" s="157">
        <f t="shared" si="86"/>
        <v>0</v>
      </c>
      <c r="BN53" s="157">
        <f t="shared" si="87"/>
        <v>0</v>
      </c>
      <c r="BO53" s="167" t="str">
        <f t="shared" si="88"/>
        <v>P1</v>
      </c>
      <c r="BP53" s="167" t="str">
        <f t="shared" si="89"/>
        <v>P2</v>
      </c>
      <c r="BQ53" s="167" t="str">
        <f t="shared" si="90"/>
        <v>CV</v>
      </c>
      <c r="BR53" s="167" t="str">
        <f t="shared" si="91"/>
        <v>CP</v>
      </c>
      <c r="BS53" s="167">
        <f t="shared" si="92"/>
        <v>0</v>
      </c>
      <c r="BT53" s="167">
        <f t="shared" si="93"/>
        <v>0</v>
      </c>
      <c r="BU53" s="167">
        <f t="shared" si="94"/>
        <v>25</v>
      </c>
      <c r="BV53" s="167">
        <f t="shared" si="95"/>
        <v>25</v>
      </c>
      <c r="BW53" s="167">
        <f t="shared" si="96"/>
        <v>0</v>
      </c>
      <c r="BX53" s="167">
        <f t="shared" si="97"/>
        <v>0</v>
      </c>
      <c r="BY53" s="167">
        <f t="shared" si="98"/>
        <v>0</v>
      </c>
      <c r="BZ53" s="167">
        <f t="shared" si="99"/>
        <v>0</v>
      </c>
      <c r="CA53" s="157" t="str">
        <f t="shared" si="100"/>
        <v>Midterm Exam</v>
      </c>
      <c r="CB53" s="157">
        <f t="shared" si="101"/>
        <v>40</v>
      </c>
      <c r="CC53" s="157">
        <f t="shared" si="102"/>
        <v>0</v>
      </c>
      <c r="CD53" s="157" t="str">
        <f t="shared" si="103"/>
        <v xml:space="preserve"> </v>
      </c>
      <c r="CE53" s="174" t="str">
        <f t="shared" si="104"/>
        <v>LO2</v>
      </c>
      <c r="CF53" s="175">
        <f t="shared" si="105"/>
        <v>0</v>
      </c>
      <c r="CG53" s="175">
        <f t="shared" si="106"/>
        <v>0</v>
      </c>
      <c r="CH53" s="175">
        <f t="shared" si="107"/>
        <v>0</v>
      </c>
      <c r="CI53" s="175">
        <f t="shared" si="108"/>
        <v>0</v>
      </c>
      <c r="CJ53" s="175">
        <f t="shared" si="109"/>
        <v>0</v>
      </c>
      <c r="CK53" s="175">
        <f t="shared" si="110"/>
        <v>25</v>
      </c>
      <c r="CL53" s="175">
        <f t="shared" si="111"/>
        <v>0</v>
      </c>
      <c r="CM53" s="175">
        <f t="shared" si="112"/>
        <v>0</v>
      </c>
      <c r="CN53" s="175">
        <f t="shared" si="113"/>
        <v>0</v>
      </c>
      <c r="CO53" s="153">
        <f t="shared" si="114"/>
        <v>0</v>
      </c>
      <c r="CP53" s="153">
        <f t="shared" si="115"/>
        <v>0</v>
      </c>
      <c r="CQ53" s="175" t="str">
        <f t="shared" si="116"/>
        <v>P3</v>
      </c>
      <c r="CR53" s="175">
        <f t="shared" si="117"/>
        <v>0</v>
      </c>
      <c r="CS53" s="175" t="str">
        <f t="shared" si="118"/>
        <v>LS</v>
      </c>
      <c r="CT53" s="175" t="str">
        <f t="shared" si="119"/>
        <v>B</v>
      </c>
      <c r="CU53" s="175">
        <f t="shared" si="120"/>
        <v>0</v>
      </c>
      <c r="CV53" s="175">
        <f t="shared" si="121"/>
        <v>0</v>
      </c>
      <c r="CW53" s="175">
        <f t="shared" si="122"/>
        <v>25</v>
      </c>
      <c r="CX53" s="153">
        <f t="shared" si="123"/>
        <v>0</v>
      </c>
      <c r="CY53" s="153">
        <f t="shared" si="124"/>
        <v>0</v>
      </c>
      <c r="CZ53" s="153">
        <f t="shared" si="125"/>
        <v>0</v>
      </c>
      <c r="DA53" s="153">
        <f t="shared" si="126"/>
        <v>0</v>
      </c>
      <c r="DB53" s="184">
        <f t="shared" si="127"/>
        <v>0</v>
      </c>
      <c r="DC53" s="167">
        <f t="shared" si="128"/>
        <v>25</v>
      </c>
      <c r="DD53" s="167" t="str">
        <f t="shared" si="129"/>
        <v>Final Exam</v>
      </c>
      <c r="DE53" s="157" t="str">
        <f t="shared" si="130"/>
        <v xml:space="preserve"> </v>
      </c>
      <c r="DF53" s="157">
        <f t="shared" si="131"/>
        <v>0</v>
      </c>
    </row>
    <row r="54" spans="4:110" s="113" customFormat="1" ht="26.25" customHeight="1" x14ac:dyDescent="0.2">
      <c r="D54" s="106"/>
      <c r="E54" s="106"/>
      <c r="G54" s="60">
        <v>48</v>
      </c>
      <c r="H54" s="66"/>
      <c r="I54" s="63"/>
      <c r="J54" s="97"/>
      <c r="K54" s="102"/>
      <c r="L54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54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54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54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54" s="40"/>
      <c r="Q54" s="41"/>
      <c r="R54" s="41"/>
      <c r="S54" s="41"/>
      <c r="T54" s="41"/>
      <c r="U54" s="42"/>
      <c r="V54" s="43"/>
      <c r="W54" s="41"/>
      <c r="X54" s="41"/>
      <c r="Y54" s="41"/>
      <c r="Z54" s="41"/>
      <c r="AA54" s="42"/>
      <c r="AB54" s="44"/>
      <c r="AC54" s="73"/>
      <c r="AD54" s="43"/>
      <c r="AE54" s="43"/>
      <c r="AF54" s="43"/>
      <c r="AG54" s="41"/>
      <c r="AH54" s="41"/>
      <c r="AI54" s="42"/>
      <c r="AJ54" s="43"/>
      <c r="AK54" s="43"/>
      <c r="AL54" s="43"/>
      <c r="AM54" s="41"/>
      <c r="AN54" s="41"/>
      <c r="AO54" s="41"/>
      <c r="AP54" s="44"/>
      <c r="AQ54" s="73"/>
      <c r="AR54" s="150"/>
      <c r="AS54" s="157">
        <f t="shared" si="66"/>
        <v>0</v>
      </c>
      <c r="AT54" s="161">
        <f t="shared" si="67"/>
        <v>0.3</v>
      </c>
      <c r="AU54" s="161">
        <f t="shared" si="68"/>
        <v>0.4</v>
      </c>
      <c r="AV54" s="161">
        <f t="shared" si="69"/>
        <v>0.3</v>
      </c>
      <c r="AW54" s="161" t="str">
        <f t="shared" si="70"/>
        <v xml:space="preserve"> </v>
      </c>
      <c r="AX54" s="161">
        <f t="shared" si="71"/>
        <v>0.3</v>
      </c>
      <c r="AY54" s="161">
        <f t="shared" si="72"/>
        <v>0.4</v>
      </c>
      <c r="AZ54" s="161">
        <f t="shared" si="73"/>
        <v>0.15</v>
      </c>
      <c r="BA54" s="161">
        <f t="shared" si="74"/>
        <v>0.15</v>
      </c>
      <c r="BB54" s="161" t="str">
        <f t="shared" si="75"/>
        <v xml:space="preserve"> </v>
      </c>
      <c r="BC54" s="157" t="str">
        <f t="shared" si="76"/>
        <v>LO1</v>
      </c>
      <c r="BD54" s="157" t="str">
        <f t="shared" si="77"/>
        <v>Q1</v>
      </c>
      <c r="BE54" s="157">
        <f t="shared" si="78"/>
        <v>0</v>
      </c>
      <c r="BF54" s="157">
        <f t="shared" si="79"/>
        <v>0</v>
      </c>
      <c r="BG54" s="157">
        <f t="shared" si="80"/>
        <v>0</v>
      </c>
      <c r="BH54" s="157">
        <f t="shared" si="81"/>
        <v>0</v>
      </c>
      <c r="BI54" s="157">
        <f t="shared" si="82"/>
        <v>25</v>
      </c>
      <c r="BJ54" s="157">
        <f t="shared" si="83"/>
        <v>20</v>
      </c>
      <c r="BK54" s="157">
        <f t="shared" si="84"/>
        <v>0</v>
      </c>
      <c r="BL54" s="157">
        <f t="shared" si="85"/>
        <v>0</v>
      </c>
      <c r="BM54" s="157">
        <f t="shared" si="86"/>
        <v>0</v>
      </c>
      <c r="BN54" s="157">
        <f t="shared" si="87"/>
        <v>0</v>
      </c>
      <c r="BO54" s="167" t="str">
        <f t="shared" si="88"/>
        <v>P1</v>
      </c>
      <c r="BP54" s="167" t="str">
        <f t="shared" si="89"/>
        <v>P2</v>
      </c>
      <c r="BQ54" s="167" t="str">
        <f t="shared" si="90"/>
        <v>CV</v>
      </c>
      <c r="BR54" s="167" t="str">
        <f t="shared" si="91"/>
        <v>CP</v>
      </c>
      <c r="BS54" s="167">
        <f t="shared" si="92"/>
        <v>0</v>
      </c>
      <c r="BT54" s="167">
        <f t="shared" si="93"/>
        <v>0</v>
      </c>
      <c r="BU54" s="167">
        <f t="shared" si="94"/>
        <v>25</v>
      </c>
      <c r="BV54" s="167">
        <f t="shared" si="95"/>
        <v>25</v>
      </c>
      <c r="BW54" s="167">
        <f t="shared" si="96"/>
        <v>0</v>
      </c>
      <c r="BX54" s="167">
        <f t="shared" si="97"/>
        <v>0</v>
      </c>
      <c r="BY54" s="167">
        <f t="shared" si="98"/>
        <v>0</v>
      </c>
      <c r="BZ54" s="167">
        <f t="shared" si="99"/>
        <v>0</v>
      </c>
      <c r="CA54" s="157" t="str">
        <f t="shared" si="100"/>
        <v>Midterm Exam</v>
      </c>
      <c r="CB54" s="157">
        <f t="shared" si="101"/>
        <v>40</v>
      </c>
      <c r="CC54" s="157">
        <f t="shared" si="102"/>
        <v>0</v>
      </c>
      <c r="CD54" s="157" t="str">
        <f t="shared" si="103"/>
        <v xml:space="preserve"> </v>
      </c>
      <c r="CE54" s="174" t="str">
        <f t="shared" si="104"/>
        <v>LO2</v>
      </c>
      <c r="CF54" s="175">
        <f t="shared" si="105"/>
        <v>0</v>
      </c>
      <c r="CG54" s="175">
        <f t="shared" si="106"/>
        <v>0</v>
      </c>
      <c r="CH54" s="175">
        <f t="shared" si="107"/>
        <v>0</v>
      </c>
      <c r="CI54" s="175">
        <f t="shared" si="108"/>
        <v>0</v>
      </c>
      <c r="CJ54" s="175">
        <f t="shared" si="109"/>
        <v>0</v>
      </c>
      <c r="CK54" s="175">
        <f t="shared" si="110"/>
        <v>25</v>
      </c>
      <c r="CL54" s="175">
        <f t="shared" si="111"/>
        <v>0</v>
      </c>
      <c r="CM54" s="175">
        <f t="shared" si="112"/>
        <v>0</v>
      </c>
      <c r="CN54" s="175">
        <f t="shared" si="113"/>
        <v>0</v>
      </c>
      <c r="CO54" s="153">
        <f t="shared" si="114"/>
        <v>0</v>
      </c>
      <c r="CP54" s="153">
        <f t="shared" si="115"/>
        <v>0</v>
      </c>
      <c r="CQ54" s="175" t="str">
        <f t="shared" si="116"/>
        <v>P3</v>
      </c>
      <c r="CR54" s="175">
        <f t="shared" si="117"/>
        <v>0</v>
      </c>
      <c r="CS54" s="175" t="str">
        <f t="shared" si="118"/>
        <v>LS</v>
      </c>
      <c r="CT54" s="175" t="str">
        <f t="shared" si="119"/>
        <v>B</v>
      </c>
      <c r="CU54" s="175">
        <f t="shared" si="120"/>
        <v>0</v>
      </c>
      <c r="CV54" s="175">
        <f t="shared" si="121"/>
        <v>0</v>
      </c>
      <c r="CW54" s="175">
        <f t="shared" si="122"/>
        <v>25</v>
      </c>
      <c r="CX54" s="153">
        <f t="shared" si="123"/>
        <v>0</v>
      </c>
      <c r="CY54" s="153">
        <f t="shared" si="124"/>
        <v>0</v>
      </c>
      <c r="CZ54" s="153">
        <f t="shared" si="125"/>
        <v>0</v>
      </c>
      <c r="DA54" s="153">
        <f t="shared" si="126"/>
        <v>0</v>
      </c>
      <c r="DB54" s="184">
        <f t="shared" si="127"/>
        <v>0</v>
      </c>
      <c r="DC54" s="167">
        <f t="shared" si="128"/>
        <v>25</v>
      </c>
      <c r="DD54" s="167" t="str">
        <f t="shared" si="129"/>
        <v>Final Exam</v>
      </c>
      <c r="DE54" s="157" t="str">
        <f t="shared" si="130"/>
        <v xml:space="preserve"> </v>
      </c>
      <c r="DF54" s="157">
        <f t="shared" si="131"/>
        <v>0</v>
      </c>
    </row>
    <row r="55" spans="4:110" s="113" customFormat="1" ht="26.25" customHeight="1" x14ac:dyDescent="0.2">
      <c r="D55" s="106"/>
      <c r="E55" s="106"/>
      <c r="G55" s="60">
        <v>49</v>
      </c>
      <c r="H55" s="66"/>
      <c r="I55" s="63"/>
      <c r="J55" s="97"/>
      <c r="K55" s="102"/>
      <c r="L55" s="129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55" s="68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55" s="129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55" s="94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55" s="40"/>
      <c r="Q55" s="41"/>
      <c r="R55" s="41"/>
      <c r="S55" s="41"/>
      <c r="T55" s="41"/>
      <c r="U55" s="42"/>
      <c r="V55" s="43"/>
      <c r="W55" s="41"/>
      <c r="X55" s="41"/>
      <c r="Y55" s="41"/>
      <c r="Z55" s="41"/>
      <c r="AA55" s="42"/>
      <c r="AB55" s="44"/>
      <c r="AC55" s="73"/>
      <c r="AD55" s="43"/>
      <c r="AE55" s="43"/>
      <c r="AF55" s="43"/>
      <c r="AG55" s="41"/>
      <c r="AH55" s="41"/>
      <c r="AI55" s="42"/>
      <c r="AJ55" s="43"/>
      <c r="AK55" s="43"/>
      <c r="AL55" s="43"/>
      <c r="AM55" s="41"/>
      <c r="AN55" s="41"/>
      <c r="AO55" s="41"/>
      <c r="AP55" s="44"/>
      <c r="AQ55" s="73"/>
      <c r="AR55" s="150"/>
      <c r="AS55" s="157">
        <f t="shared" si="66"/>
        <v>0</v>
      </c>
      <c r="AT55" s="161">
        <f t="shared" si="67"/>
        <v>0.3</v>
      </c>
      <c r="AU55" s="161">
        <f t="shared" si="68"/>
        <v>0.4</v>
      </c>
      <c r="AV55" s="161">
        <f t="shared" si="69"/>
        <v>0.3</v>
      </c>
      <c r="AW55" s="161" t="str">
        <f t="shared" si="70"/>
        <v xml:space="preserve"> </v>
      </c>
      <c r="AX55" s="161">
        <f t="shared" si="71"/>
        <v>0.3</v>
      </c>
      <c r="AY55" s="161">
        <f t="shared" si="72"/>
        <v>0.4</v>
      </c>
      <c r="AZ55" s="161">
        <f t="shared" si="73"/>
        <v>0.15</v>
      </c>
      <c r="BA55" s="161">
        <f t="shared" si="74"/>
        <v>0.15</v>
      </c>
      <c r="BB55" s="161" t="str">
        <f t="shared" si="75"/>
        <v xml:space="preserve"> </v>
      </c>
      <c r="BC55" s="157" t="str">
        <f t="shared" si="76"/>
        <v>LO1</v>
      </c>
      <c r="BD55" s="157" t="str">
        <f t="shared" si="77"/>
        <v>Q1</v>
      </c>
      <c r="BE55" s="157">
        <f t="shared" si="78"/>
        <v>0</v>
      </c>
      <c r="BF55" s="157">
        <f t="shared" si="79"/>
        <v>0</v>
      </c>
      <c r="BG55" s="157">
        <f t="shared" si="80"/>
        <v>0</v>
      </c>
      <c r="BH55" s="157">
        <f t="shared" si="81"/>
        <v>0</v>
      </c>
      <c r="BI55" s="157">
        <f t="shared" si="82"/>
        <v>25</v>
      </c>
      <c r="BJ55" s="157">
        <f t="shared" si="83"/>
        <v>20</v>
      </c>
      <c r="BK55" s="157">
        <f t="shared" si="84"/>
        <v>0</v>
      </c>
      <c r="BL55" s="157">
        <f t="shared" si="85"/>
        <v>0</v>
      </c>
      <c r="BM55" s="157">
        <f t="shared" si="86"/>
        <v>0</v>
      </c>
      <c r="BN55" s="157">
        <f t="shared" si="87"/>
        <v>0</v>
      </c>
      <c r="BO55" s="167" t="str">
        <f t="shared" si="88"/>
        <v>P1</v>
      </c>
      <c r="BP55" s="167" t="str">
        <f t="shared" si="89"/>
        <v>P2</v>
      </c>
      <c r="BQ55" s="167" t="str">
        <f t="shared" si="90"/>
        <v>CV</v>
      </c>
      <c r="BR55" s="167" t="str">
        <f t="shared" si="91"/>
        <v>CP</v>
      </c>
      <c r="BS55" s="167">
        <f t="shared" si="92"/>
        <v>0</v>
      </c>
      <c r="BT55" s="167">
        <f t="shared" si="93"/>
        <v>0</v>
      </c>
      <c r="BU55" s="167">
        <f t="shared" si="94"/>
        <v>25</v>
      </c>
      <c r="BV55" s="167">
        <f t="shared" si="95"/>
        <v>25</v>
      </c>
      <c r="BW55" s="167">
        <f t="shared" si="96"/>
        <v>0</v>
      </c>
      <c r="BX55" s="167">
        <f t="shared" si="97"/>
        <v>0</v>
      </c>
      <c r="BY55" s="167">
        <f t="shared" si="98"/>
        <v>0</v>
      </c>
      <c r="BZ55" s="167">
        <f t="shared" si="99"/>
        <v>0</v>
      </c>
      <c r="CA55" s="157" t="str">
        <f t="shared" si="100"/>
        <v>Midterm Exam</v>
      </c>
      <c r="CB55" s="157">
        <f t="shared" si="101"/>
        <v>40</v>
      </c>
      <c r="CC55" s="157">
        <f t="shared" si="102"/>
        <v>0</v>
      </c>
      <c r="CD55" s="157" t="str">
        <f t="shared" si="103"/>
        <v xml:space="preserve"> </v>
      </c>
      <c r="CE55" s="174" t="str">
        <f t="shared" si="104"/>
        <v>LO2</v>
      </c>
      <c r="CF55" s="175">
        <f t="shared" si="105"/>
        <v>0</v>
      </c>
      <c r="CG55" s="175">
        <f t="shared" si="106"/>
        <v>0</v>
      </c>
      <c r="CH55" s="175">
        <f t="shared" si="107"/>
        <v>0</v>
      </c>
      <c r="CI55" s="175">
        <f t="shared" si="108"/>
        <v>0</v>
      </c>
      <c r="CJ55" s="175">
        <f t="shared" si="109"/>
        <v>0</v>
      </c>
      <c r="CK55" s="175">
        <f t="shared" si="110"/>
        <v>25</v>
      </c>
      <c r="CL55" s="175">
        <f t="shared" si="111"/>
        <v>0</v>
      </c>
      <c r="CM55" s="175">
        <f t="shared" si="112"/>
        <v>0</v>
      </c>
      <c r="CN55" s="175">
        <f t="shared" si="113"/>
        <v>0</v>
      </c>
      <c r="CO55" s="153">
        <f t="shared" si="114"/>
        <v>0</v>
      </c>
      <c r="CP55" s="153">
        <f t="shared" si="115"/>
        <v>0</v>
      </c>
      <c r="CQ55" s="175" t="str">
        <f t="shared" si="116"/>
        <v>P3</v>
      </c>
      <c r="CR55" s="175">
        <f t="shared" si="117"/>
        <v>0</v>
      </c>
      <c r="CS55" s="175" t="str">
        <f t="shared" si="118"/>
        <v>LS</v>
      </c>
      <c r="CT55" s="175" t="str">
        <f t="shared" si="119"/>
        <v>B</v>
      </c>
      <c r="CU55" s="175">
        <f t="shared" si="120"/>
        <v>0</v>
      </c>
      <c r="CV55" s="175">
        <f t="shared" si="121"/>
        <v>0</v>
      </c>
      <c r="CW55" s="175">
        <f t="shared" si="122"/>
        <v>25</v>
      </c>
      <c r="CX55" s="153">
        <f t="shared" si="123"/>
        <v>0</v>
      </c>
      <c r="CY55" s="153">
        <f t="shared" si="124"/>
        <v>0</v>
      </c>
      <c r="CZ55" s="153">
        <f t="shared" si="125"/>
        <v>0</v>
      </c>
      <c r="DA55" s="153">
        <f t="shared" si="126"/>
        <v>0</v>
      </c>
      <c r="DB55" s="184">
        <f t="shared" si="127"/>
        <v>0</v>
      </c>
      <c r="DC55" s="167">
        <f t="shared" si="128"/>
        <v>25</v>
      </c>
      <c r="DD55" s="167" t="str">
        <f t="shared" si="129"/>
        <v>Final Exam</v>
      </c>
      <c r="DE55" s="157" t="str">
        <f t="shared" si="130"/>
        <v xml:space="preserve"> </v>
      </c>
      <c r="DF55" s="157">
        <f t="shared" si="131"/>
        <v>0</v>
      </c>
    </row>
    <row r="56" spans="4:110" s="113" customFormat="1" ht="26.25" customHeight="1" thickBot="1" x14ac:dyDescent="0.25">
      <c r="D56" s="106"/>
      <c r="E56" s="106"/>
      <c r="G56" s="61">
        <v>50</v>
      </c>
      <c r="H56" s="67"/>
      <c r="I56" s="64"/>
      <c r="J56" s="100"/>
      <c r="K56" s="105"/>
      <c r="L56" s="146">
        <f>IF(($B$12="Advanced Comm."),(((SUM(tblsec1[[#This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Row],[%MidtermMPT]])+((tblsec1[[#This Row],[MEXC]]/tblsec1[[#This Row],[SMEXC]])*tblsec1[[#This Row],[%MidtermExC]])), (((SUM(tblsec1[[#This Row],[CP1]:[CP6]])/SUM(tblsec1[[#This Row],[SCP1]:[SCP6]]))*tblsec1[[#This Row],[%MidtermCP]])+((SUM(tblsec1[[#This Row],[EA1]:[EA6]])/SUM(tblsec1[[#This Row],[SEA1]:[SEA6]]))*tblsec1[[#This Row],[%MidtermEA]])+((tblsec1[[#This Row],[MPT]]/tblsec1[[#This Row],[SMPT]])*tblsec1[[#This Row],[%MidtermMPT]])))*100</f>
        <v>0</v>
      </c>
      <c r="M56" s="147" t="str">
        <f>IF(($B$12="Bridging Course [P/F]")+($B$12="Nationalian [P/F]"), (IF(tblsec1[[#This Row],[MRG]]&gt;59.5,"Pass","Fail")), (IF($B$12="Practicum", (VLOOKUP(tblsec1[[#This Row],[MRG]],PRAC_GradeTable,2)), (VLOOKUP(tblsec1[[#This Row],[MRG]],GradeTable1,2)))))</f>
        <v>R</v>
      </c>
      <c r="N56" s="146">
        <f>(IF(($B$12="Advanced Comm."),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Row],[%FinalsFPT]])+((SUM(tblsec1[[#This Row],[FEXC]],tblsec1[[#This Row],[MEXC]])/SUM(tblsec1[[#This Row],[SMEXC]],tblsec1[[#This Row],[SFEXC]]))*tblsec1[[#This Row],[%FinalsExC]])), (((SUM(tblsec1[[#This Row],[CP1]:[CP6]],tblsec1[[#This Row],[CP7]:[CP12]])/SUM(tblsec1[[#This Row],[SCP1]:[SCP6]],tblsec1[[#This Row],[SCP7]:[SCP12]]))*tblsec1[[#This Row],[%FinalsCP]])+((SUM(tblsec1[[#This Row],[EA1]:[EA6]],tblsec1[[#This Row],[EA7]:[EA12]])/SUM(tblsec1[[#This Row],[SEA1]:[SEA6]],tblsec1[[#This Row],[SEA7]:[SEA12]]))*tblsec1[[#This Row],[%FinalsEA]])+((tblsec1[[#This Row],[MPT]]/tblsec1[[#This Row],[SMPT]])*tblsec1[[#This Row],[%FinalsMPT]])+((tblsec1[[#This Row],[FPT]]/tblsec1[[#This Row],[SFPT]])*tblsec1[[#This Row],[%FinalsFPT]])))*100)+tblsec1[[#This Row],[Bonus]]</f>
        <v>0</v>
      </c>
      <c r="O56" s="148" t="str">
        <f>IF(($B$12="Bridging Course [P/F]")+($B$12="Nationalian [P/F]"), (IF(tblsec1[[#This Row],[FRG]]&gt;59.5,"Pass","Fail")), (IF($B$12="Practicum", (VLOOKUP(tblsec1[[#This Row],[FRG]],PRAC_GradeTable,2)), (VLOOKUP(tblsec1[[#This Row],[FRG]],GradeTable1,2)))))</f>
        <v>R</v>
      </c>
      <c r="P56" s="45"/>
      <c r="Q56" s="46"/>
      <c r="R56" s="46"/>
      <c r="S56" s="46"/>
      <c r="T56" s="46"/>
      <c r="U56" s="47"/>
      <c r="V56" s="48"/>
      <c r="W56" s="46"/>
      <c r="X56" s="46"/>
      <c r="Y56" s="46"/>
      <c r="Z56" s="46"/>
      <c r="AA56" s="47"/>
      <c r="AB56" s="49"/>
      <c r="AC56" s="74"/>
      <c r="AD56" s="50"/>
      <c r="AE56" s="50"/>
      <c r="AF56" s="50"/>
      <c r="AG56" s="51"/>
      <c r="AH56" s="51"/>
      <c r="AI56" s="52"/>
      <c r="AJ56" s="51"/>
      <c r="AK56" s="51"/>
      <c r="AL56" s="51"/>
      <c r="AM56" s="51"/>
      <c r="AN56" s="51"/>
      <c r="AO56" s="51"/>
      <c r="AP56" s="53"/>
      <c r="AQ56" s="93"/>
      <c r="AR56" s="152"/>
      <c r="AS56" s="160">
        <f t="shared" si="66"/>
        <v>0</v>
      </c>
      <c r="AT56" s="163">
        <f t="shared" si="67"/>
        <v>0.3</v>
      </c>
      <c r="AU56" s="163">
        <f t="shared" si="68"/>
        <v>0.4</v>
      </c>
      <c r="AV56" s="163">
        <f t="shared" si="69"/>
        <v>0.3</v>
      </c>
      <c r="AW56" s="163" t="str">
        <f t="shared" si="70"/>
        <v xml:space="preserve"> </v>
      </c>
      <c r="AX56" s="163">
        <f t="shared" si="71"/>
        <v>0.3</v>
      </c>
      <c r="AY56" s="163">
        <f t="shared" si="72"/>
        <v>0.4</v>
      </c>
      <c r="AZ56" s="163">
        <f t="shared" si="73"/>
        <v>0.15</v>
      </c>
      <c r="BA56" s="163">
        <f t="shared" si="74"/>
        <v>0.15</v>
      </c>
      <c r="BB56" s="163" t="str">
        <f t="shared" si="75"/>
        <v xml:space="preserve"> </v>
      </c>
      <c r="BC56" s="160" t="str">
        <f t="shared" si="76"/>
        <v>LO1</v>
      </c>
      <c r="BD56" s="160" t="str">
        <f t="shared" si="77"/>
        <v>Q1</v>
      </c>
      <c r="BE56" s="160">
        <f t="shared" si="78"/>
        <v>0</v>
      </c>
      <c r="BF56" s="160">
        <f t="shared" si="79"/>
        <v>0</v>
      </c>
      <c r="BG56" s="160">
        <f t="shared" si="80"/>
        <v>0</v>
      </c>
      <c r="BH56" s="160">
        <f t="shared" si="81"/>
        <v>0</v>
      </c>
      <c r="BI56" s="160">
        <f t="shared" si="82"/>
        <v>25</v>
      </c>
      <c r="BJ56" s="160">
        <f t="shared" si="83"/>
        <v>20</v>
      </c>
      <c r="BK56" s="160">
        <f t="shared" si="84"/>
        <v>0</v>
      </c>
      <c r="BL56" s="160">
        <f t="shared" si="85"/>
        <v>0</v>
      </c>
      <c r="BM56" s="160">
        <f t="shared" si="86"/>
        <v>0</v>
      </c>
      <c r="BN56" s="160">
        <f t="shared" si="87"/>
        <v>0</v>
      </c>
      <c r="BO56" s="170" t="str">
        <f t="shared" si="88"/>
        <v>P1</v>
      </c>
      <c r="BP56" s="170" t="str">
        <f t="shared" si="89"/>
        <v>P2</v>
      </c>
      <c r="BQ56" s="170" t="str">
        <f t="shared" si="90"/>
        <v>CV</v>
      </c>
      <c r="BR56" s="170" t="str">
        <f t="shared" si="91"/>
        <v>CP</v>
      </c>
      <c r="BS56" s="170">
        <f t="shared" si="92"/>
        <v>0</v>
      </c>
      <c r="BT56" s="170">
        <f t="shared" si="93"/>
        <v>0</v>
      </c>
      <c r="BU56" s="170">
        <f t="shared" si="94"/>
        <v>25</v>
      </c>
      <c r="BV56" s="170">
        <f t="shared" si="95"/>
        <v>25</v>
      </c>
      <c r="BW56" s="170">
        <f t="shared" si="96"/>
        <v>0</v>
      </c>
      <c r="BX56" s="170">
        <f t="shared" si="97"/>
        <v>0</v>
      </c>
      <c r="BY56" s="170">
        <f t="shared" si="98"/>
        <v>0</v>
      </c>
      <c r="BZ56" s="170">
        <f t="shared" si="99"/>
        <v>0</v>
      </c>
      <c r="CA56" s="160" t="str">
        <f t="shared" si="100"/>
        <v>Midterm Exam</v>
      </c>
      <c r="CB56" s="160">
        <f t="shared" si="101"/>
        <v>40</v>
      </c>
      <c r="CC56" s="160">
        <f t="shared" si="102"/>
        <v>0</v>
      </c>
      <c r="CD56" s="160" t="str">
        <f t="shared" si="103"/>
        <v xml:space="preserve"> </v>
      </c>
      <c r="CE56" s="181" t="str">
        <f t="shared" si="104"/>
        <v>LO2</v>
      </c>
      <c r="CF56" s="182">
        <f t="shared" si="105"/>
        <v>0</v>
      </c>
      <c r="CG56" s="182">
        <f t="shared" si="106"/>
        <v>0</v>
      </c>
      <c r="CH56" s="182">
        <f t="shared" si="107"/>
        <v>0</v>
      </c>
      <c r="CI56" s="182">
        <f t="shared" si="108"/>
        <v>0</v>
      </c>
      <c r="CJ56" s="182">
        <f t="shared" si="109"/>
        <v>0</v>
      </c>
      <c r="CK56" s="182">
        <f t="shared" si="110"/>
        <v>25</v>
      </c>
      <c r="CL56" s="182">
        <f t="shared" si="111"/>
        <v>0</v>
      </c>
      <c r="CM56" s="182">
        <f t="shared" si="112"/>
        <v>0</v>
      </c>
      <c r="CN56" s="182">
        <f t="shared" si="113"/>
        <v>0</v>
      </c>
      <c r="CO56" s="182">
        <f t="shared" si="114"/>
        <v>0</v>
      </c>
      <c r="CP56" s="182">
        <f t="shared" si="115"/>
        <v>0</v>
      </c>
      <c r="CQ56" s="182" t="str">
        <f t="shared" si="116"/>
        <v>P3</v>
      </c>
      <c r="CR56" s="182">
        <f t="shared" si="117"/>
        <v>0</v>
      </c>
      <c r="CS56" s="182" t="str">
        <f t="shared" si="118"/>
        <v>LS</v>
      </c>
      <c r="CT56" s="182" t="str">
        <f t="shared" si="119"/>
        <v>B</v>
      </c>
      <c r="CU56" s="182">
        <f t="shared" si="120"/>
        <v>0</v>
      </c>
      <c r="CV56" s="182">
        <f t="shared" si="121"/>
        <v>0</v>
      </c>
      <c r="CW56" s="182">
        <f t="shared" si="122"/>
        <v>25</v>
      </c>
      <c r="CX56" s="155">
        <f t="shared" si="123"/>
        <v>0</v>
      </c>
      <c r="CY56" s="155">
        <f t="shared" si="124"/>
        <v>0</v>
      </c>
      <c r="CZ56" s="155">
        <f t="shared" si="125"/>
        <v>0</v>
      </c>
      <c r="DA56" s="155">
        <f t="shared" si="126"/>
        <v>0</v>
      </c>
      <c r="DB56" s="187">
        <f t="shared" si="127"/>
        <v>0</v>
      </c>
      <c r="DC56" s="188">
        <f t="shared" si="128"/>
        <v>25</v>
      </c>
      <c r="DD56" s="188" t="str">
        <f t="shared" si="129"/>
        <v>Final Exam</v>
      </c>
      <c r="DE56" s="189" t="str">
        <f t="shared" si="130"/>
        <v xml:space="preserve"> </v>
      </c>
      <c r="DF56" s="189">
        <f t="shared" si="131"/>
        <v>0</v>
      </c>
    </row>
  </sheetData>
  <sheetProtection selectLockedCells="1"/>
  <mergeCells count="34">
    <mergeCell ref="B23:C23"/>
    <mergeCell ref="B15:C16"/>
    <mergeCell ref="D15:E15"/>
    <mergeCell ref="B17:C17"/>
    <mergeCell ref="N2:O4"/>
    <mergeCell ref="L2:M4"/>
    <mergeCell ref="J2:J5"/>
    <mergeCell ref="I2:I5"/>
    <mergeCell ref="H2:H5"/>
    <mergeCell ref="G2:G5"/>
    <mergeCell ref="D11:E11"/>
    <mergeCell ref="B20:C20"/>
    <mergeCell ref="B22:C22"/>
    <mergeCell ref="B21:C21"/>
    <mergeCell ref="D25:E25"/>
    <mergeCell ref="D5:E5"/>
    <mergeCell ref="AC3:AC4"/>
    <mergeCell ref="P3:U3"/>
    <mergeCell ref="V3:AA3"/>
    <mergeCell ref="AR2:AR5"/>
    <mergeCell ref="D12:E12"/>
    <mergeCell ref="B19:C19"/>
    <mergeCell ref="K2:K5"/>
    <mergeCell ref="D10:E10"/>
    <mergeCell ref="D6:E6"/>
    <mergeCell ref="D13:E13"/>
    <mergeCell ref="B18:C18"/>
    <mergeCell ref="P2:AC2"/>
    <mergeCell ref="AD3:AI3"/>
    <mergeCell ref="AJ3:AO3"/>
    <mergeCell ref="AD2:AQ2"/>
    <mergeCell ref="AQ3:AQ4"/>
    <mergeCell ref="AP3:AP4"/>
    <mergeCell ref="AB3:AB4"/>
  </mergeCells>
  <phoneticPr fontId="19" type="noConversion"/>
  <conditionalFormatting sqref="M7:M56 O7:O56 AT7:BB56">
    <cfRule type="cellIs" dxfId="217" priority="1" operator="equal">
      <formula>"Fail"</formula>
    </cfRule>
    <cfRule type="cellIs" dxfId="216" priority="2" operator="equal">
      <formula>"4.0"</formula>
    </cfRule>
    <cfRule type="cellIs" dxfId="215" priority="3" operator="equal">
      <formula>"1.0"</formula>
    </cfRule>
    <cfRule type="cellIs" dxfId="214" priority="4" operator="equal">
      <formula>"Pass"</formula>
    </cfRule>
    <cfRule type="cellIs" dxfId="213" priority="5" operator="equal">
      <formula>"R"</formula>
    </cfRule>
  </conditionalFormatting>
  <pageMargins left="0.23622047244094491" right="0.23622047244094491" top="0.19685039370078741" bottom="0.15748031496062992" header="0.31496062992125984" footer="0.31496062992125984"/>
  <pageSetup paperSize="9" scale="37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C71D2-30D4-4386-88DB-653233E20821}">
  <sheetPr codeName="Sheet12"/>
  <dimension ref="A1:CY501"/>
  <sheetViews>
    <sheetView workbookViewId="0">
      <selection sqref="A1:XFD1048576"/>
    </sheetView>
  </sheetViews>
  <sheetFormatPr baseColWidth="10" defaultColWidth="8.5" defaultRowHeight="15" x14ac:dyDescent="0.2"/>
  <cols>
    <col min="1" max="1" width="19.5" bestFit="1" customWidth="1"/>
    <col min="2" max="2" width="22.5" bestFit="1" customWidth="1"/>
    <col min="3" max="3" width="16.5" bestFit="1" customWidth="1"/>
    <col min="4" max="4" width="15.5" bestFit="1" customWidth="1"/>
    <col min="5" max="6" width="14.5" bestFit="1" customWidth="1"/>
    <col min="7" max="20" width="13.5" bestFit="1" customWidth="1"/>
    <col min="21" max="21" width="14.5" bestFit="1" customWidth="1"/>
    <col min="22" max="22" width="15.5" bestFit="1" customWidth="1"/>
    <col min="23" max="25" width="13.5" bestFit="1" customWidth="1"/>
    <col min="26" max="28" width="14.5" bestFit="1" customWidth="1"/>
    <col min="29" max="31" width="13.5" bestFit="1" customWidth="1"/>
    <col min="32" max="34" width="14.5" bestFit="1" customWidth="1"/>
    <col min="35" max="35" width="13.5" bestFit="1" customWidth="1"/>
    <col min="36" max="36" width="14.5" bestFit="1" customWidth="1"/>
    <col min="37" max="37" width="17.83203125" bestFit="1" customWidth="1"/>
    <col min="38" max="38" width="16.5" bestFit="1" customWidth="1"/>
    <col min="39" max="40" width="21.5" bestFit="1" customWidth="1"/>
    <col min="41" max="41" width="23.5" bestFit="1" customWidth="1"/>
    <col min="42" max="42" width="22.5" bestFit="1" customWidth="1"/>
    <col min="43" max="44" width="18.83203125" bestFit="1" customWidth="1"/>
    <col min="45" max="45" width="19.83203125" bestFit="1" customWidth="1"/>
    <col min="46" max="46" width="20.5" bestFit="1" customWidth="1"/>
    <col min="47" max="47" width="19.83203125" bestFit="1" customWidth="1"/>
    <col min="48" max="53" width="14.83203125" bestFit="1" customWidth="1"/>
    <col min="54" max="59" width="14.5" bestFit="1" customWidth="1"/>
    <col min="60" max="65" width="14.83203125" bestFit="1" customWidth="1"/>
    <col min="66" max="71" width="14.5" bestFit="1" customWidth="1"/>
    <col min="72" max="72" width="23.5" bestFit="1" customWidth="1"/>
    <col min="73" max="73" width="15.5" bestFit="1" customWidth="1"/>
    <col min="74" max="75" width="16.5" bestFit="1" customWidth="1"/>
    <col min="76" max="78" width="14.83203125" bestFit="1" customWidth="1"/>
    <col min="79" max="81" width="16" bestFit="1" customWidth="1"/>
    <col min="82" max="84" width="14.5" bestFit="1" customWidth="1"/>
    <col min="85" max="87" width="15.5" bestFit="1" customWidth="1"/>
    <col min="88" max="90" width="14.83203125" bestFit="1" customWidth="1"/>
    <col min="91" max="93" width="16" bestFit="1" customWidth="1"/>
    <col min="94" max="96" width="14.5" bestFit="1" customWidth="1"/>
    <col min="97" max="99" width="15.5" bestFit="1" customWidth="1"/>
    <col min="100" max="100" width="14.5" bestFit="1" customWidth="1"/>
    <col min="101" max="101" width="20.5" bestFit="1" customWidth="1"/>
    <col min="102" max="102" width="15.83203125" bestFit="1" customWidth="1"/>
    <col min="103" max="103" width="15.5" bestFit="1" customWidth="1"/>
  </cols>
  <sheetData>
    <row r="1" spans="1:103" x14ac:dyDescent="0.2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176</v>
      </c>
      <c r="M1" t="s">
        <v>177</v>
      </c>
      <c r="N1" t="s">
        <v>178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t="s">
        <v>184</v>
      </c>
      <c r="U1" t="s">
        <v>185</v>
      </c>
      <c r="V1" t="s">
        <v>186</v>
      </c>
      <c r="W1" t="s">
        <v>187</v>
      </c>
      <c r="X1" t="s">
        <v>188</v>
      </c>
      <c r="Y1" t="s">
        <v>189</v>
      </c>
      <c r="Z1" t="s">
        <v>190</v>
      </c>
      <c r="AA1" t="s">
        <v>191</v>
      </c>
      <c r="AB1" t="s">
        <v>192</v>
      </c>
      <c r="AC1" t="s">
        <v>193</v>
      </c>
      <c r="AD1" t="s">
        <v>194</v>
      </c>
      <c r="AE1" t="s">
        <v>195</v>
      </c>
      <c r="AF1" t="s">
        <v>196</v>
      </c>
      <c r="AG1" t="s">
        <v>197</v>
      </c>
      <c r="AH1" t="s">
        <v>198</v>
      </c>
      <c r="AI1" t="s">
        <v>199</v>
      </c>
      <c r="AJ1" t="s">
        <v>200</v>
      </c>
      <c r="AK1" t="s">
        <v>201</v>
      </c>
      <c r="AL1" t="s">
        <v>202</v>
      </c>
      <c r="AM1" t="s">
        <v>203</v>
      </c>
      <c r="AN1" t="s">
        <v>204</v>
      </c>
      <c r="AO1" t="s">
        <v>205</v>
      </c>
      <c r="AP1" t="s">
        <v>206</v>
      </c>
      <c r="AQ1" t="s">
        <v>207</v>
      </c>
      <c r="AR1" t="s">
        <v>208</v>
      </c>
      <c r="AS1" t="s">
        <v>209</v>
      </c>
      <c r="AT1" t="s">
        <v>210</v>
      </c>
      <c r="AU1" t="s">
        <v>211</v>
      </c>
      <c r="AV1" t="s">
        <v>212</v>
      </c>
      <c r="AW1" t="s">
        <v>213</v>
      </c>
      <c r="AX1" t="s">
        <v>214</v>
      </c>
      <c r="AY1" t="s">
        <v>215</v>
      </c>
      <c r="AZ1" t="s">
        <v>216</v>
      </c>
      <c r="BA1" t="s">
        <v>217</v>
      </c>
      <c r="BB1" t="s">
        <v>218</v>
      </c>
      <c r="BC1" t="s">
        <v>219</v>
      </c>
      <c r="BD1" t="s">
        <v>220</v>
      </c>
      <c r="BE1" t="s">
        <v>221</v>
      </c>
      <c r="BF1" t="s">
        <v>222</v>
      </c>
      <c r="BG1" t="s">
        <v>223</v>
      </c>
      <c r="BH1" t="s">
        <v>224</v>
      </c>
      <c r="BI1" t="s">
        <v>225</v>
      </c>
      <c r="BJ1" t="s">
        <v>226</v>
      </c>
      <c r="BK1" t="s">
        <v>227</v>
      </c>
      <c r="BL1" t="s">
        <v>228</v>
      </c>
      <c r="BM1" t="s">
        <v>229</v>
      </c>
      <c r="BN1" t="s">
        <v>230</v>
      </c>
      <c r="BO1" t="s">
        <v>231</v>
      </c>
      <c r="BP1" t="s">
        <v>232</v>
      </c>
      <c r="BQ1" t="s">
        <v>233</v>
      </c>
      <c r="BR1" t="s">
        <v>234</v>
      </c>
      <c r="BS1" t="s">
        <v>235</v>
      </c>
      <c r="BT1" t="s">
        <v>236</v>
      </c>
      <c r="BU1" t="s">
        <v>237</v>
      </c>
      <c r="BV1" t="s">
        <v>238</v>
      </c>
      <c r="BW1" t="s">
        <v>239</v>
      </c>
      <c r="BX1" t="s">
        <v>240</v>
      </c>
      <c r="BY1" t="s">
        <v>241</v>
      </c>
      <c r="BZ1" t="s">
        <v>242</v>
      </c>
      <c r="CA1" t="s">
        <v>243</v>
      </c>
      <c r="CB1" t="s">
        <v>244</v>
      </c>
      <c r="CC1" t="s">
        <v>245</v>
      </c>
      <c r="CD1" t="s">
        <v>246</v>
      </c>
      <c r="CE1" t="s">
        <v>247</v>
      </c>
      <c r="CF1" t="s">
        <v>248</v>
      </c>
      <c r="CG1" t="s">
        <v>249</v>
      </c>
      <c r="CH1" t="s">
        <v>250</v>
      </c>
      <c r="CI1" t="s">
        <v>251</v>
      </c>
      <c r="CJ1" t="s">
        <v>252</v>
      </c>
      <c r="CK1" t="s">
        <v>253</v>
      </c>
      <c r="CL1" t="s">
        <v>254</v>
      </c>
      <c r="CM1" t="s">
        <v>255</v>
      </c>
      <c r="CN1" t="s">
        <v>256</v>
      </c>
      <c r="CO1" t="s">
        <v>257</v>
      </c>
      <c r="CP1" t="s">
        <v>258</v>
      </c>
      <c r="CQ1" t="s">
        <v>259</v>
      </c>
      <c r="CR1" t="s">
        <v>260</v>
      </c>
      <c r="CS1" t="s">
        <v>261</v>
      </c>
      <c r="CT1" t="s">
        <v>262</v>
      </c>
      <c r="CU1" t="s">
        <v>263</v>
      </c>
      <c r="CV1" t="s">
        <v>264</v>
      </c>
      <c r="CW1" t="s">
        <v>265</v>
      </c>
      <c r="CX1" t="s">
        <v>266</v>
      </c>
      <c r="CY1" t="s">
        <v>267</v>
      </c>
    </row>
    <row r="2" spans="1:103" x14ac:dyDescent="0.2">
      <c r="E2">
        <v>0</v>
      </c>
      <c r="F2" t="s">
        <v>155</v>
      </c>
      <c r="G2">
        <v>0</v>
      </c>
      <c r="H2" t="s">
        <v>155</v>
      </c>
      <c r="AL2">
        <v>0</v>
      </c>
      <c r="AM2">
        <v>0.3</v>
      </c>
      <c r="AN2">
        <v>0.4</v>
      </c>
      <c r="AO2">
        <v>0.3</v>
      </c>
      <c r="AP2" t="s">
        <v>268</v>
      </c>
      <c r="AQ2">
        <v>0.3</v>
      </c>
      <c r="AR2">
        <v>0.3</v>
      </c>
      <c r="AS2">
        <v>0.2</v>
      </c>
      <c r="AT2">
        <v>0.2</v>
      </c>
      <c r="AU2" t="s">
        <v>268</v>
      </c>
      <c r="AV2" t="s">
        <v>34</v>
      </c>
      <c r="AW2" t="s">
        <v>269</v>
      </c>
      <c r="AX2">
        <v>0</v>
      </c>
      <c r="AY2">
        <v>0</v>
      </c>
      <c r="AZ2">
        <v>0</v>
      </c>
      <c r="BA2">
        <v>0</v>
      </c>
      <c r="BB2">
        <v>100</v>
      </c>
      <c r="BC2">
        <v>40</v>
      </c>
      <c r="BD2">
        <v>0</v>
      </c>
      <c r="BE2">
        <v>0</v>
      </c>
      <c r="BF2">
        <v>0</v>
      </c>
      <c r="BG2">
        <v>0</v>
      </c>
      <c r="BH2" t="s">
        <v>270</v>
      </c>
      <c r="BI2">
        <v>0</v>
      </c>
      <c r="BJ2">
        <v>0</v>
      </c>
      <c r="BK2">
        <v>0</v>
      </c>
      <c r="BL2">
        <v>0</v>
      </c>
      <c r="BM2">
        <v>0</v>
      </c>
      <c r="BN2">
        <v>100</v>
      </c>
      <c r="BO2">
        <v>0</v>
      </c>
      <c r="BP2">
        <v>0</v>
      </c>
      <c r="BQ2">
        <v>0</v>
      </c>
      <c r="BR2">
        <v>0</v>
      </c>
      <c r="BS2">
        <v>0</v>
      </c>
      <c r="BT2" t="s">
        <v>271</v>
      </c>
      <c r="BU2">
        <v>100</v>
      </c>
      <c r="BV2">
        <v>100</v>
      </c>
      <c r="BW2" t="s">
        <v>268</v>
      </c>
      <c r="BX2" t="s">
        <v>272</v>
      </c>
      <c r="BY2">
        <v>0</v>
      </c>
      <c r="BZ2">
        <v>0</v>
      </c>
      <c r="CA2">
        <v>0</v>
      </c>
      <c r="CB2">
        <v>0</v>
      </c>
      <c r="CC2">
        <v>0</v>
      </c>
      <c r="CD2">
        <v>100</v>
      </c>
      <c r="CE2">
        <v>0</v>
      </c>
      <c r="CF2">
        <v>0</v>
      </c>
      <c r="CG2">
        <v>0</v>
      </c>
      <c r="CH2">
        <v>0</v>
      </c>
      <c r="CI2">
        <v>0</v>
      </c>
      <c r="CJ2" t="s">
        <v>273</v>
      </c>
      <c r="CK2">
        <v>0</v>
      </c>
      <c r="CL2">
        <v>0</v>
      </c>
      <c r="CM2">
        <v>0</v>
      </c>
      <c r="CN2">
        <v>0</v>
      </c>
      <c r="CO2">
        <v>0</v>
      </c>
      <c r="CP2">
        <v>100</v>
      </c>
      <c r="CQ2">
        <v>0</v>
      </c>
      <c r="CR2">
        <v>0</v>
      </c>
      <c r="CS2">
        <v>0</v>
      </c>
      <c r="CT2">
        <v>0</v>
      </c>
      <c r="CU2">
        <v>0</v>
      </c>
      <c r="CV2">
        <v>100</v>
      </c>
      <c r="CW2" t="s">
        <v>274</v>
      </c>
      <c r="CX2" t="s">
        <v>268</v>
      </c>
      <c r="CY2">
        <v>0</v>
      </c>
    </row>
    <row r="3" spans="1:103" x14ac:dyDescent="0.2">
      <c r="E3">
        <v>0</v>
      </c>
      <c r="F3" t="s">
        <v>155</v>
      </c>
      <c r="G3">
        <v>0</v>
      </c>
      <c r="H3" t="s">
        <v>155</v>
      </c>
      <c r="AL3">
        <v>0</v>
      </c>
      <c r="AM3">
        <v>0.3</v>
      </c>
      <c r="AN3">
        <v>0.4</v>
      </c>
      <c r="AO3">
        <v>0.3</v>
      </c>
      <c r="AP3" t="s">
        <v>268</v>
      </c>
      <c r="AQ3">
        <v>0.3</v>
      </c>
      <c r="AR3">
        <v>0.3</v>
      </c>
      <c r="AS3">
        <v>0.2</v>
      </c>
      <c r="AT3">
        <v>0.2</v>
      </c>
      <c r="AU3" t="s">
        <v>268</v>
      </c>
      <c r="AV3" t="s">
        <v>34</v>
      </c>
      <c r="AW3" t="s">
        <v>269</v>
      </c>
      <c r="AX3">
        <v>0</v>
      </c>
      <c r="AY3">
        <v>0</v>
      </c>
      <c r="AZ3">
        <v>0</v>
      </c>
      <c r="BA3">
        <v>0</v>
      </c>
      <c r="BB3">
        <v>100</v>
      </c>
      <c r="BC3">
        <v>40</v>
      </c>
      <c r="BD3">
        <v>0</v>
      </c>
      <c r="BE3">
        <v>0</v>
      </c>
      <c r="BF3">
        <v>0</v>
      </c>
      <c r="BG3">
        <v>0</v>
      </c>
      <c r="BH3" t="s">
        <v>270</v>
      </c>
      <c r="BI3">
        <v>0</v>
      </c>
      <c r="BJ3">
        <v>0</v>
      </c>
      <c r="BK3">
        <v>0</v>
      </c>
      <c r="BL3">
        <v>0</v>
      </c>
      <c r="BM3">
        <v>0</v>
      </c>
      <c r="BN3">
        <v>100</v>
      </c>
      <c r="BO3">
        <v>0</v>
      </c>
      <c r="BP3">
        <v>0</v>
      </c>
      <c r="BQ3">
        <v>0</v>
      </c>
      <c r="BR3">
        <v>0</v>
      </c>
      <c r="BS3">
        <v>0</v>
      </c>
      <c r="BT3" t="s">
        <v>271</v>
      </c>
      <c r="BU3">
        <v>100</v>
      </c>
      <c r="BV3">
        <v>100</v>
      </c>
      <c r="BW3" t="s">
        <v>268</v>
      </c>
      <c r="BX3" t="s">
        <v>272</v>
      </c>
      <c r="BY3">
        <v>0</v>
      </c>
      <c r="BZ3">
        <v>0</v>
      </c>
      <c r="CA3">
        <v>0</v>
      </c>
      <c r="CB3">
        <v>0</v>
      </c>
      <c r="CC3">
        <v>0</v>
      </c>
      <c r="CD3">
        <v>100</v>
      </c>
      <c r="CE3">
        <v>0</v>
      </c>
      <c r="CF3">
        <v>0</v>
      </c>
      <c r="CG3">
        <v>0</v>
      </c>
      <c r="CH3">
        <v>0</v>
      </c>
      <c r="CI3">
        <v>0</v>
      </c>
      <c r="CJ3" t="s">
        <v>273</v>
      </c>
      <c r="CK3">
        <v>0</v>
      </c>
      <c r="CL3">
        <v>0</v>
      </c>
      <c r="CM3">
        <v>0</v>
      </c>
      <c r="CN3">
        <v>0</v>
      </c>
      <c r="CO3">
        <v>0</v>
      </c>
      <c r="CP3">
        <v>100</v>
      </c>
      <c r="CQ3">
        <v>0</v>
      </c>
      <c r="CR3">
        <v>0</v>
      </c>
      <c r="CS3">
        <v>0</v>
      </c>
      <c r="CT3">
        <v>0</v>
      </c>
      <c r="CU3">
        <v>0</v>
      </c>
      <c r="CV3">
        <v>100</v>
      </c>
      <c r="CW3" t="s">
        <v>274</v>
      </c>
      <c r="CX3" t="s">
        <v>268</v>
      </c>
      <c r="CY3">
        <v>0</v>
      </c>
    </row>
    <row r="4" spans="1:103" x14ac:dyDescent="0.2">
      <c r="E4">
        <v>0</v>
      </c>
      <c r="F4" t="s">
        <v>155</v>
      </c>
      <c r="G4">
        <v>0</v>
      </c>
      <c r="H4" t="s">
        <v>155</v>
      </c>
      <c r="AL4">
        <v>0</v>
      </c>
      <c r="AM4">
        <v>0.3</v>
      </c>
      <c r="AN4">
        <v>0.4</v>
      </c>
      <c r="AO4">
        <v>0.3</v>
      </c>
      <c r="AP4" t="s">
        <v>268</v>
      </c>
      <c r="AQ4">
        <v>0.3</v>
      </c>
      <c r="AR4">
        <v>0.3</v>
      </c>
      <c r="AS4">
        <v>0.2</v>
      </c>
      <c r="AT4">
        <v>0.2</v>
      </c>
      <c r="AU4" t="s">
        <v>268</v>
      </c>
      <c r="AV4" t="s">
        <v>34</v>
      </c>
      <c r="AW4" t="s">
        <v>269</v>
      </c>
      <c r="AX4">
        <v>0</v>
      </c>
      <c r="AY4">
        <v>0</v>
      </c>
      <c r="AZ4">
        <v>0</v>
      </c>
      <c r="BA4">
        <v>0</v>
      </c>
      <c r="BB4">
        <v>100</v>
      </c>
      <c r="BC4">
        <v>40</v>
      </c>
      <c r="BD4">
        <v>0</v>
      </c>
      <c r="BE4">
        <v>0</v>
      </c>
      <c r="BF4">
        <v>0</v>
      </c>
      <c r="BG4">
        <v>0</v>
      </c>
      <c r="BH4" t="s">
        <v>270</v>
      </c>
      <c r="BI4">
        <v>0</v>
      </c>
      <c r="BJ4">
        <v>0</v>
      </c>
      <c r="BK4">
        <v>0</v>
      </c>
      <c r="BL4">
        <v>0</v>
      </c>
      <c r="BM4">
        <v>0</v>
      </c>
      <c r="BN4">
        <v>100</v>
      </c>
      <c r="BO4">
        <v>0</v>
      </c>
      <c r="BP4">
        <v>0</v>
      </c>
      <c r="BQ4">
        <v>0</v>
      </c>
      <c r="BR4">
        <v>0</v>
      </c>
      <c r="BS4">
        <v>0</v>
      </c>
      <c r="BT4" t="s">
        <v>271</v>
      </c>
      <c r="BU4">
        <v>100</v>
      </c>
      <c r="BV4">
        <v>100</v>
      </c>
      <c r="BW4" t="s">
        <v>268</v>
      </c>
      <c r="BX4" t="s">
        <v>272</v>
      </c>
      <c r="BY4">
        <v>0</v>
      </c>
      <c r="BZ4">
        <v>0</v>
      </c>
      <c r="CA4">
        <v>0</v>
      </c>
      <c r="CB4">
        <v>0</v>
      </c>
      <c r="CC4">
        <v>0</v>
      </c>
      <c r="CD4">
        <v>100</v>
      </c>
      <c r="CE4">
        <v>0</v>
      </c>
      <c r="CF4">
        <v>0</v>
      </c>
      <c r="CG4">
        <v>0</v>
      </c>
      <c r="CH4">
        <v>0</v>
      </c>
      <c r="CI4">
        <v>0</v>
      </c>
      <c r="CJ4" t="s">
        <v>273</v>
      </c>
      <c r="CK4">
        <v>0</v>
      </c>
      <c r="CL4">
        <v>0</v>
      </c>
      <c r="CM4">
        <v>0</v>
      </c>
      <c r="CN4">
        <v>0</v>
      </c>
      <c r="CO4">
        <v>0</v>
      </c>
      <c r="CP4">
        <v>100</v>
      </c>
      <c r="CQ4">
        <v>0</v>
      </c>
      <c r="CR4">
        <v>0</v>
      </c>
      <c r="CS4">
        <v>0</v>
      </c>
      <c r="CT4">
        <v>0</v>
      </c>
      <c r="CU4">
        <v>0</v>
      </c>
      <c r="CV4">
        <v>100</v>
      </c>
      <c r="CW4" t="s">
        <v>274</v>
      </c>
      <c r="CX4" t="s">
        <v>268</v>
      </c>
      <c r="CY4">
        <v>0</v>
      </c>
    </row>
    <row r="5" spans="1:103" x14ac:dyDescent="0.2">
      <c r="E5">
        <v>0</v>
      </c>
      <c r="F5" t="s">
        <v>155</v>
      </c>
      <c r="G5">
        <v>0</v>
      </c>
      <c r="H5" t="s">
        <v>155</v>
      </c>
      <c r="AL5">
        <v>0</v>
      </c>
      <c r="AM5">
        <v>0.3</v>
      </c>
      <c r="AN5">
        <v>0.4</v>
      </c>
      <c r="AO5">
        <v>0.3</v>
      </c>
      <c r="AP5" t="s">
        <v>268</v>
      </c>
      <c r="AQ5">
        <v>0.3</v>
      </c>
      <c r="AR5">
        <v>0.3</v>
      </c>
      <c r="AS5">
        <v>0.2</v>
      </c>
      <c r="AT5">
        <v>0.2</v>
      </c>
      <c r="AU5" t="s">
        <v>268</v>
      </c>
      <c r="AV5" t="s">
        <v>34</v>
      </c>
      <c r="AW5" t="s">
        <v>269</v>
      </c>
      <c r="AX5">
        <v>0</v>
      </c>
      <c r="AY5">
        <v>0</v>
      </c>
      <c r="AZ5">
        <v>0</v>
      </c>
      <c r="BA5">
        <v>0</v>
      </c>
      <c r="BB5">
        <v>100</v>
      </c>
      <c r="BC5">
        <v>40</v>
      </c>
      <c r="BD5">
        <v>0</v>
      </c>
      <c r="BE5">
        <v>0</v>
      </c>
      <c r="BF5">
        <v>0</v>
      </c>
      <c r="BG5">
        <v>0</v>
      </c>
      <c r="BH5" t="s">
        <v>270</v>
      </c>
      <c r="BI5">
        <v>0</v>
      </c>
      <c r="BJ5">
        <v>0</v>
      </c>
      <c r="BK5">
        <v>0</v>
      </c>
      <c r="BL5">
        <v>0</v>
      </c>
      <c r="BM5">
        <v>0</v>
      </c>
      <c r="BN5">
        <v>100</v>
      </c>
      <c r="BO5">
        <v>0</v>
      </c>
      <c r="BP5">
        <v>0</v>
      </c>
      <c r="BQ5">
        <v>0</v>
      </c>
      <c r="BR5">
        <v>0</v>
      </c>
      <c r="BS5">
        <v>0</v>
      </c>
      <c r="BT5" t="s">
        <v>271</v>
      </c>
      <c r="BU5">
        <v>100</v>
      </c>
      <c r="BV5">
        <v>100</v>
      </c>
      <c r="BW5" t="s">
        <v>268</v>
      </c>
      <c r="BX5" t="s">
        <v>272</v>
      </c>
      <c r="BY5">
        <v>0</v>
      </c>
      <c r="BZ5">
        <v>0</v>
      </c>
      <c r="CA5">
        <v>0</v>
      </c>
      <c r="CB5">
        <v>0</v>
      </c>
      <c r="CC5">
        <v>0</v>
      </c>
      <c r="CD5">
        <v>100</v>
      </c>
      <c r="CE5">
        <v>0</v>
      </c>
      <c r="CF5">
        <v>0</v>
      </c>
      <c r="CG5">
        <v>0</v>
      </c>
      <c r="CH5">
        <v>0</v>
      </c>
      <c r="CI5">
        <v>0</v>
      </c>
      <c r="CJ5" t="s">
        <v>273</v>
      </c>
      <c r="CK5">
        <v>0</v>
      </c>
      <c r="CL5">
        <v>0</v>
      </c>
      <c r="CM5">
        <v>0</v>
      </c>
      <c r="CN5">
        <v>0</v>
      </c>
      <c r="CO5">
        <v>0</v>
      </c>
      <c r="CP5">
        <v>100</v>
      </c>
      <c r="CQ5">
        <v>0</v>
      </c>
      <c r="CR5">
        <v>0</v>
      </c>
      <c r="CS5">
        <v>0</v>
      </c>
      <c r="CT5">
        <v>0</v>
      </c>
      <c r="CU5">
        <v>0</v>
      </c>
      <c r="CV5">
        <v>100</v>
      </c>
      <c r="CW5" t="s">
        <v>274</v>
      </c>
      <c r="CX5" t="s">
        <v>268</v>
      </c>
      <c r="CY5">
        <v>0</v>
      </c>
    </row>
    <row r="6" spans="1:103" x14ac:dyDescent="0.2">
      <c r="E6">
        <v>0</v>
      </c>
      <c r="F6" t="s">
        <v>155</v>
      </c>
      <c r="G6">
        <v>0</v>
      </c>
      <c r="H6" t="s">
        <v>155</v>
      </c>
      <c r="AL6">
        <v>0</v>
      </c>
      <c r="AM6">
        <v>0.3</v>
      </c>
      <c r="AN6">
        <v>0.4</v>
      </c>
      <c r="AO6">
        <v>0.3</v>
      </c>
      <c r="AP6" t="s">
        <v>268</v>
      </c>
      <c r="AQ6">
        <v>0.3</v>
      </c>
      <c r="AR6">
        <v>0.3</v>
      </c>
      <c r="AS6">
        <v>0.2</v>
      </c>
      <c r="AT6">
        <v>0.2</v>
      </c>
      <c r="AU6" t="s">
        <v>268</v>
      </c>
      <c r="AV6" t="s">
        <v>34</v>
      </c>
      <c r="AW6" t="s">
        <v>269</v>
      </c>
      <c r="AX6">
        <v>0</v>
      </c>
      <c r="AY6">
        <v>0</v>
      </c>
      <c r="AZ6">
        <v>0</v>
      </c>
      <c r="BA6">
        <v>0</v>
      </c>
      <c r="BB6">
        <v>100</v>
      </c>
      <c r="BC6">
        <v>40</v>
      </c>
      <c r="BD6">
        <v>0</v>
      </c>
      <c r="BE6">
        <v>0</v>
      </c>
      <c r="BF6">
        <v>0</v>
      </c>
      <c r="BG6">
        <v>0</v>
      </c>
      <c r="BH6" t="s">
        <v>270</v>
      </c>
      <c r="BI6">
        <v>0</v>
      </c>
      <c r="BJ6">
        <v>0</v>
      </c>
      <c r="BK6">
        <v>0</v>
      </c>
      <c r="BL6">
        <v>0</v>
      </c>
      <c r="BM6">
        <v>0</v>
      </c>
      <c r="BN6">
        <v>100</v>
      </c>
      <c r="BO6">
        <v>0</v>
      </c>
      <c r="BP6">
        <v>0</v>
      </c>
      <c r="BQ6">
        <v>0</v>
      </c>
      <c r="BR6">
        <v>0</v>
      </c>
      <c r="BS6">
        <v>0</v>
      </c>
      <c r="BT6" t="s">
        <v>271</v>
      </c>
      <c r="BU6">
        <v>100</v>
      </c>
      <c r="BV6">
        <v>100</v>
      </c>
      <c r="BW6" t="s">
        <v>268</v>
      </c>
      <c r="BX6" t="s">
        <v>272</v>
      </c>
      <c r="BY6">
        <v>0</v>
      </c>
      <c r="BZ6">
        <v>0</v>
      </c>
      <c r="CA6">
        <v>0</v>
      </c>
      <c r="CB6">
        <v>0</v>
      </c>
      <c r="CC6">
        <v>0</v>
      </c>
      <c r="CD6">
        <v>100</v>
      </c>
      <c r="CE6">
        <v>0</v>
      </c>
      <c r="CF6">
        <v>0</v>
      </c>
      <c r="CG6">
        <v>0</v>
      </c>
      <c r="CH6">
        <v>0</v>
      </c>
      <c r="CI6">
        <v>0</v>
      </c>
      <c r="CJ6" t="s">
        <v>273</v>
      </c>
      <c r="CK6">
        <v>0</v>
      </c>
      <c r="CL6">
        <v>0</v>
      </c>
      <c r="CM6">
        <v>0</v>
      </c>
      <c r="CN6">
        <v>0</v>
      </c>
      <c r="CO6">
        <v>0</v>
      </c>
      <c r="CP6">
        <v>100</v>
      </c>
      <c r="CQ6">
        <v>0</v>
      </c>
      <c r="CR6">
        <v>0</v>
      </c>
      <c r="CS6">
        <v>0</v>
      </c>
      <c r="CT6">
        <v>0</v>
      </c>
      <c r="CU6">
        <v>0</v>
      </c>
      <c r="CV6">
        <v>100</v>
      </c>
      <c r="CW6" t="s">
        <v>274</v>
      </c>
      <c r="CX6" t="s">
        <v>268</v>
      </c>
      <c r="CY6">
        <v>0</v>
      </c>
    </row>
    <row r="7" spans="1:103" x14ac:dyDescent="0.2">
      <c r="E7">
        <v>0</v>
      </c>
      <c r="F7" t="s">
        <v>155</v>
      </c>
      <c r="G7">
        <v>0</v>
      </c>
      <c r="H7" t="s">
        <v>155</v>
      </c>
      <c r="AL7">
        <v>0</v>
      </c>
      <c r="AM7">
        <v>0.3</v>
      </c>
      <c r="AN7">
        <v>0.4</v>
      </c>
      <c r="AO7">
        <v>0.3</v>
      </c>
      <c r="AP7" t="s">
        <v>268</v>
      </c>
      <c r="AQ7">
        <v>0.3</v>
      </c>
      <c r="AR7">
        <v>0.3</v>
      </c>
      <c r="AS7">
        <v>0.2</v>
      </c>
      <c r="AT7">
        <v>0.2</v>
      </c>
      <c r="AU7" t="s">
        <v>268</v>
      </c>
      <c r="AV7" t="s">
        <v>34</v>
      </c>
      <c r="AW7" t="s">
        <v>269</v>
      </c>
      <c r="AX7">
        <v>0</v>
      </c>
      <c r="AY7">
        <v>0</v>
      </c>
      <c r="AZ7">
        <v>0</v>
      </c>
      <c r="BA7">
        <v>0</v>
      </c>
      <c r="BB7">
        <v>100</v>
      </c>
      <c r="BC7">
        <v>40</v>
      </c>
      <c r="BD7">
        <v>0</v>
      </c>
      <c r="BE7">
        <v>0</v>
      </c>
      <c r="BF7">
        <v>0</v>
      </c>
      <c r="BG7">
        <v>0</v>
      </c>
      <c r="BH7" t="s">
        <v>270</v>
      </c>
      <c r="BI7">
        <v>0</v>
      </c>
      <c r="BJ7">
        <v>0</v>
      </c>
      <c r="BK7">
        <v>0</v>
      </c>
      <c r="BL7">
        <v>0</v>
      </c>
      <c r="BM7">
        <v>0</v>
      </c>
      <c r="BN7">
        <v>100</v>
      </c>
      <c r="BO7">
        <v>0</v>
      </c>
      <c r="BP7">
        <v>0</v>
      </c>
      <c r="BQ7">
        <v>0</v>
      </c>
      <c r="BR7">
        <v>0</v>
      </c>
      <c r="BS7">
        <v>0</v>
      </c>
      <c r="BT7" t="s">
        <v>271</v>
      </c>
      <c r="BU7">
        <v>100</v>
      </c>
      <c r="BV7">
        <v>100</v>
      </c>
      <c r="BW7" t="s">
        <v>268</v>
      </c>
      <c r="BX7" t="s">
        <v>272</v>
      </c>
      <c r="BY7">
        <v>0</v>
      </c>
      <c r="BZ7">
        <v>0</v>
      </c>
      <c r="CA7">
        <v>0</v>
      </c>
      <c r="CB7">
        <v>0</v>
      </c>
      <c r="CC7">
        <v>0</v>
      </c>
      <c r="CD7">
        <v>100</v>
      </c>
      <c r="CE7">
        <v>0</v>
      </c>
      <c r="CF7">
        <v>0</v>
      </c>
      <c r="CG7">
        <v>0</v>
      </c>
      <c r="CH7">
        <v>0</v>
      </c>
      <c r="CI7">
        <v>0</v>
      </c>
      <c r="CJ7" t="s">
        <v>273</v>
      </c>
      <c r="CK7">
        <v>0</v>
      </c>
      <c r="CL7">
        <v>0</v>
      </c>
      <c r="CM7">
        <v>0</v>
      </c>
      <c r="CN7">
        <v>0</v>
      </c>
      <c r="CO7">
        <v>0</v>
      </c>
      <c r="CP7">
        <v>100</v>
      </c>
      <c r="CQ7">
        <v>0</v>
      </c>
      <c r="CR7">
        <v>0</v>
      </c>
      <c r="CS7">
        <v>0</v>
      </c>
      <c r="CT7">
        <v>0</v>
      </c>
      <c r="CU7">
        <v>0</v>
      </c>
      <c r="CV7">
        <v>100</v>
      </c>
      <c r="CW7" t="s">
        <v>274</v>
      </c>
      <c r="CX7" t="s">
        <v>268</v>
      </c>
      <c r="CY7">
        <v>0</v>
      </c>
    </row>
    <row r="8" spans="1:103" x14ac:dyDescent="0.2">
      <c r="E8">
        <v>0</v>
      </c>
      <c r="F8" t="s">
        <v>155</v>
      </c>
      <c r="G8">
        <v>0</v>
      </c>
      <c r="H8" t="s">
        <v>155</v>
      </c>
      <c r="AL8">
        <v>0</v>
      </c>
      <c r="AM8">
        <v>0.3</v>
      </c>
      <c r="AN8">
        <v>0.4</v>
      </c>
      <c r="AO8">
        <v>0.3</v>
      </c>
      <c r="AP8" t="s">
        <v>268</v>
      </c>
      <c r="AQ8">
        <v>0.3</v>
      </c>
      <c r="AR8">
        <v>0.3</v>
      </c>
      <c r="AS8">
        <v>0.2</v>
      </c>
      <c r="AT8">
        <v>0.2</v>
      </c>
      <c r="AU8" t="s">
        <v>268</v>
      </c>
      <c r="AV8" t="s">
        <v>34</v>
      </c>
      <c r="AW8" t="s">
        <v>269</v>
      </c>
      <c r="AX8">
        <v>0</v>
      </c>
      <c r="AY8">
        <v>0</v>
      </c>
      <c r="AZ8">
        <v>0</v>
      </c>
      <c r="BA8">
        <v>0</v>
      </c>
      <c r="BB8">
        <v>100</v>
      </c>
      <c r="BC8">
        <v>40</v>
      </c>
      <c r="BD8">
        <v>0</v>
      </c>
      <c r="BE8">
        <v>0</v>
      </c>
      <c r="BF8">
        <v>0</v>
      </c>
      <c r="BG8">
        <v>0</v>
      </c>
      <c r="BH8" t="s">
        <v>270</v>
      </c>
      <c r="BI8">
        <v>0</v>
      </c>
      <c r="BJ8">
        <v>0</v>
      </c>
      <c r="BK8">
        <v>0</v>
      </c>
      <c r="BL8">
        <v>0</v>
      </c>
      <c r="BM8">
        <v>0</v>
      </c>
      <c r="BN8">
        <v>100</v>
      </c>
      <c r="BO8">
        <v>0</v>
      </c>
      <c r="BP8">
        <v>0</v>
      </c>
      <c r="BQ8">
        <v>0</v>
      </c>
      <c r="BR8">
        <v>0</v>
      </c>
      <c r="BS8">
        <v>0</v>
      </c>
      <c r="BT8" t="s">
        <v>271</v>
      </c>
      <c r="BU8">
        <v>100</v>
      </c>
      <c r="BV8">
        <v>100</v>
      </c>
      <c r="BW8" t="s">
        <v>268</v>
      </c>
      <c r="BX8" t="s">
        <v>272</v>
      </c>
      <c r="BY8">
        <v>0</v>
      </c>
      <c r="BZ8">
        <v>0</v>
      </c>
      <c r="CA8">
        <v>0</v>
      </c>
      <c r="CB8">
        <v>0</v>
      </c>
      <c r="CC8">
        <v>0</v>
      </c>
      <c r="CD8">
        <v>100</v>
      </c>
      <c r="CE8">
        <v>0</v>
      </c>
      <c r="CF8">
        <v>0</v>
      </c>
      <c r="CG8">
        <v>0</v>
      </c>
      <c r="CH8">
        <v>0</v>
      </c>
      <c r="CI8">
        <v>0</v>
      </c>
      <c r="CJ8" t="s">
        <v>273</v>
      </c>
      <c r="CK8">
        <v>0</v>
      </c>
      <c r="CL8">
        <v>0</v>
      </c>
      <c r="CM8">
        <v>0</v>
      </c>
      <c r="CN8">
        <v>0</v>
      </c>
      <c r="CO8">
        <v>0</v>
      </c>
      <c r="CP8">
        <v>100</v>
      </c>
      <c r="CQ8">
        <v>0</v>
      </c>
      <c r="CR8">
        <v>0</v>
      </c>
      <c r="CS8">
        <v>0</v>
      </c>
      <c r="CT8">
        <v>0</v>
      </c>
      <c r="CU8">
        <v>0</v>
      </c>
      <c r="CV8">
        <v>100</v>
      </c>
      <c r="CW8" t="s">
        <v>274</v>
      </c>
      <c r="CX8" t="s">
        <v>268</v>
      </c>
      <c r="CY8">
        <v>0</v>
      </c>
    </row>
    <row r="9" spans="1:103" x14ac:dyDescent="0.2">
      <c r="E9">
        <v>0</v>
      </c>
      <c r="F9" t="s">
        <v>155</v>
      </c>
      <c r="G9">
        <v>0</v>
      </c>
      <c r="H9" t="s">
        <v>155</v>
      </c>
      <c r="AL9">
        <v>0</v>
      </c>
      <c r="AM9">
        <v>0.3</v>
      </c>
      <c r="AN9">
        <v>0.4</v>
      </c>
      <c r="AO9">
        <v>0.3</v>
      </c>
      <c r="AP9" t="s">
        <v>268</v>
      </c>
      <c r="AQ9">
        <v>0.3</v>
      </c>
      <c r="AR9">
        <v>0.3</v>
      </c>
      <c r="AS9">
        <v>0.2</v>
      </c>
      <c r="AT9">
        <v>0.2</v>
      </c>
      <c r="AU9" t="s">
        <v>268</v>
      </c>
      <c r="AV9" t="s">
        <v>34</v>
      </c>
      <c r="AW9" t="s">
        <v>269</v>
      </c>
      <c r="AX9">
        <v>0</v>
      </c>
      <c r="AY9">
        <v>0</v>
      </c>
      <c r="AZ9">
        <v>0</v>
      </c>
      <c r="BA9">
        <v>0</v>
      </c>
      <c r="BB9">
        <v>100</v>
      </c>
      <c r="BC9">
        <v>40</v>
      </c>
      <c r="BD9">
        <v>0</v>
      </c>
      <c r="BE9">
        <v>0</v>
      </c>
      <c r="BF9">
        <v>0</v>
      </c>
      <c r="BG9">
        <v>0</v>
      </c>
      <c r="BH9" t="s">
        <v>270</v>
      </c>
      <c r="BI9">
        <v>0</v>
      </c>
      <c r="BJ9">
        <v>0</v>
      </c>
      <c r="BK9">
        <v>0</v>
      </c>
      <c r="BL9">
        <v>0</v>
      </c>
      <c r="BM9">
        <v>0</v>
      </c>
      <c r="BN9">
        <v>100</v>
      </c>
      <c r="BO9">
        <v>0</v>
      </c>
      <c r="BP9">
        <v>0</v>
      </c>
      <c r="BQ9">
        <v>0</v>
      </c>
      <c r="BR9">
        <v>0</v>
      </c>
      <c r="BS9">
        <v>0</v>
      </c>
      <c r="BT9" t="s">
        <v>271</v>
      </c>
      <c r="BU9">
        <v>100</v>
      </c>
      <c r="BV9">
        <v>100</v>
      </c>
      <c r="BW9" t="s">
        <v>268</v>
      </c>
      <c r="BX9" t="s">
        <v>272</v>
      </c>
      <c r="BY9">
        <v>0</v>
      </c>
      <c r="BZ9">
        <v>0</v>
      </c>
      <c r="CA9">
        <v>0</v>
      </c>
      <c r="CB9">
        <v>0</v>
      </c>
      <c r="CC9">
        <v>0</v>
      </c>
      <c r="CD9">
        <v>100</v>
      </c>
      <c r="CE9">
        <v>0</v>
      </c>
      <c r="CF9">
        <v>0</v>
      </c>
      <c r="CG9">
        <v>0</v>
      </c>
      <c r="CH9">
        <v>0</v>
      </c>
      <c r="CI9">
        <v>0</v>
      </c>
      <c r="CJ9" t="s">
        <v>273</v>
      </c>
      <c r="CK9">
        <v>0</v>
      </c>
      <c r="CL9">
        <v>0</v>
      </c>
      <c r="CM9">
        <v>0</v>
      </c>
      <c r="CN9">
        <v>0</v>
      </c>
      <c r="CO9">
        <v>0</v>
      </c>
      <c r="CP9">
        <v>100</v>
      </c>
      <c r="CQ9">
        <v>0</v>
      </c>
      <c r="CR9">
        <v>0</v>
      </c>
      <c r="CS9">
        <v>0</v>
      </c>
      <c r="CT9">
        <v>0</v>
      </c>
      <c r="CU9">
        <v>0</v>
      </c>
      <c r="CV9">
        <v>100</v>
      </c>
      <c r="CW9" t="s">
        <v>274</v>
      </c>
      <c r="CX9" t="s">
        <v>268</v>
      </c>
      <c r="CY9">
        <v>0</v>
      </c>
    </row>
    <row r="10" spans="1:103" x14ac:dyDescent="0.2">
      <c r="E10">
        <v>0</v>
      </c>
      <c r="F10" t="s">
        <v>155</v>
      </c>
      <c r="G10">
        <v>0</v>
      </c>
      <c r="H10" t="s">
        <v>155</v>
      </c>
      <c r="AL10">
        <v>0</v>
      </c>
      <c r="AM10">
        <v>0.3</v>
      </c>
      <c r="AN10">
        <v>0.4</v>
      </c>
      <c r="AO10">
        <v>0.3</v>
      </c>
      <c r="AP10" t="s">
        <v>268</v>
      </c>
      <c r="AQ10">
        <v>0.3</v>
      </c>
      <c r="AR10">
        <v>0.3</v>
      </c>
      <c r="AS10">
        <v>0.2</v>
      </c>
      <c r="AT10">
        <v>0.2</v>
      </c>
      <c r="AU10" t="s">
        <v>268</v>
      </c>
      <c r="AV10" t="s">
        <v>34</v>
      </c>
      <c r="AW10" t="s">
        <v>269</v>
      </c>
      <c r="AX10">
        <v>0</v>
      </c>
      <c r="AY10">
        <v>0</v>
      </c>
      <c r="AZ10">
        <v>0</v>
      </c>
      <c r="BA10">
        <v>0</v>
      </c>
      <c r="BB10">
        <v>100</v>
      </c>
      <c r="BC10">
        <v>40</v>
      </c>
      <c r="BD10">
        <v>0</v>
      </c>
      <c r="BE10">
        <v>0</v>
      </c>
      <c r="BF10">
        <v>0</v>
      </c>
      <c r="BG10">
        <v>0</v>
      </c>
      <c r="BH10" t="s">
        <v>270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100</v>
      </c>
      <c r="BO10">
        <v>0</v>
      </c>
      <c r="BP10">
        <v>0</v>
      </c>
      <c r="BQ10">
        <v>0</v>
      </c>
      <c r="BR10">
        <v>0</v>
      </c>
      <c r="BS10">
        <v>0</v>
      </c>
      <c r="BT10" t="s">
        <v>271</v>
      </c>
      <c r="BU10">
        <v>100</v>
      </c>
      <c r="BV10">
        <v>100</v>
      </c>
      <c r="BW10" t="s">
        <v>268</v>
      </c>
      <c r="BX10" t="s">
        <v>272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100</v>
      </c>
      <c r="CE10">
        <v>0</v>
      </c>
      <c r="CF10">
        <v>0</v>
      </c>
      <c r="CG10">
        <v>0</v>
      </c>
      <c r="CH10">
        <v>0</v>
      </c>
      <c r="CI10">
        <v>0</v>
      </c>
      <c r="CJ10" t="s">
        <v>273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100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100</v>
      </c>
      <c r="CW10" t="s">
        <v>274</v>
      </c>
      <c r="CX10" t="s">
        <v>268</v>
      </c>
      <c r="CY10">
        <v>0</v>
      </c>
    </row>
    <row r="11" spans="1:103" x14ac:dyDescent="0.2">
      <c r="E11">
        <v>0</v>
      </c>
      <c r="F11" t="s">
        <v>155</v>
      </c>
      <c r="G11">
        <v>0</v>
      </c>
      <c r="H11" t="s">
        <v>155</v>
      </c>
      <c r="AL11">
        <v>0</v>
      </c>
      <c r="AM11">
        <v>0.3</v>
      </c>
      <c r="AN11">
        <v>0.4</v>
      </c>
      <c r="AO11">
        <v>0.3</v>
      </c>
      <c r="AP11" t="s">
        <v>268</v>
      </c>
      <c r="AQ11">
        <v>0.3</v>
      </c>
      <c r="AR11">
        <v>0.3</v>
      </c>
      <c r="AS11">
        <v>0.2</v>
      </c>
      <c r="AT11">
        <v>0.2</v>
      </c>
      <c r="AU11" t="s">
        <v>268</v>
      </c>
      <c r="AV11" t="s">
        <v>34</v>
      </c>
      <c r="AW11" t="s">
        <v>269</v>
      </c>
      <c r="AX11">
        <v>0</v>
      </c>
      <c r="AY11">
        <v>0</v>
      </c>
      <c r="AZ11">
        <v>0</v>
      </c>
      <c r="BA11">
        <v>0</v>
      </c>
      <c r="BB11">
        <v>100</v>
      </c>
      <c r="BC11">
        <v>40</v>
      </c>
      <c r="BD11">
        <v>0</v>
      </c>
      <c r="BE11">
        <v>0</v>
      </c>
      <c r="BF11">
        <v>0</v>
      </c>
      <c r="BG11">
        <v>0</v>
      </c>
      <c r="BH11" t="s">
        <v>270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100</v>
      </c>
      <c r="BO11">
        <v>0</v>
      </c>
      <c r="BP11">
        <v>0</v>
      </c>
      <c r="BQ11">
        <v>0</v>
      </c>
      <c r="BR11">
        <v>0</v>
      </c>
      <c r="BS11">
        <v>0</v>
      </c>
      <c r="BT11" t="s">
        <v>271</v>
      </c>
      <c r="BU11">
        <v>100</v>
      </c>
      <c r="BV11">
        <v>100</v>
      </c>
      <c r="BW11" t="s">
        <v>268</v>
      </c>
      <c r="BX11" t="s">
        <v>272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100</v>
      </c>
      <c r="CE11">
        <v>0</v>
      </c>
      <c r="CF11">
        <v>0</v>
      </c>
      <c r="CG11">
        <v>0</v>
      </c>
      <c r="CH11">
        <v>0</v>
      </c>
      <c r="CI11">
        <v>0</v>
      </c>
      <c r="CJ11" t="s">
        <v>273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100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100</v>
      </c>
      <c r="CW11" t="s">
        <v>274</v>
      </c>
      <c r="CX11" t="s">
        <v>268</v>
      </c>
      <c r="CY11">
        <v>0</v>
      </c>
    </row>
    <row r="12" spans="1:103" x14ac:dyDescent="0.2">
      <c r="E12">
        <v>0</v>
      </c>
      <c r="F12" t="s">
        <v>155</v>
      </c>
      <c r="G12">
        <v>0</v>
      </c>
      <c r="H12" t="s">
        <v>155</v>
      </c>
      <c r="AL12">
        <v>0</v>
      </c>
      <c r="AM12">
        <v>0.3</v>
      </c>
      <c r="AN12">
        <v>0.4</v>
      </c>
      <c r="AO12">
        <v>0.3</v>
      </c>
      <c r="AP12" t="s">
        <v>268</v>
      </c>
      <c r="AQ12">
        <v>0.3</v>
      </c>
      <c r="AR12">
        <v>0.3</v>
      </c>
      <c r="AS12">
        <v>0.2</v>
      </c>
      <c r="AT12">
        <v>0.2</v>
      </c>
      <c r="AU12" t="s">
        <v>268</v>
      </c>
      <c r="AV12" t="s">
        <v>34</v>
      </c>
      <c r="AW12" t="s">
        <v>269</v>
      </c>
      <c r="AX12">
        <v>0</v>
      </c>
      <c r="AY12">
        <v>0</v>
      </c>
      <c r="AZ12">
        <v>0</v>
      </c>
      <c r="BA12">
        <v>0</v>
      </c>
      <c r="BB12">
        <v>100</v>
      </c>
      <c r="BC12">
        <v>40</v>
      </c>
      <c r="BD12">
        <v>0</v>
      </c>
      <c r="BE12">
        <v>0</v>
      </c>
      <c r="BF12">
        <v>0</v>
      </c>
      <c r="BG12">
        <v>0</v>
      </c>
      <c r="BH12" t="s">
        <v>270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100</v>
      </c>
      <c r="BO12">
        <v>0</v>
      </c>
      <c r="BP12">
        <v>0</v>
      </c>
      <c r="BQ12">
        <v>0</v>
      </c>
      <c r="BR12">
        <v>0</v>
      </c>
      <c r="BS12">
        <v>0</v>
      </c>
      <c r="BT12" t="s">
        <v>271</v>
      </c>
      <c r="BU12">
        <v>100</v>
      </c>
      <c r="BV12">
        <v>100</v>
      </c>
      <c r="BW12" t="s">
        <v>268</v>
      </c>
      <c r="BX12" t="s">
        <v>272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100</v>
      </c>
      <c r="CE12">
        <v>0</v>
      </c>
      <c r="CF12">
        <v>0</v>
      </c>
      <c r="CG12">
        <v>0</v>
      </c>
      <c r="CH12">
        <v>0</v>
      </c>
      <c r="CI12">
        <v>0</v>
      </c>
      <c r="CJ12" t="s">
        <v>273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100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100</v>
      </c>
      <c r="CW12" t="s">
        <v>274</v>
      </c>
      <c r="CX12" t="s">
        <v>268</v>
      </c>
      <c r="CY12">
        <v>0</v>
      </c>
    </row>
    <row r="13" spans="1:103" x14ac:dyDescent="0.2">
      <c r="E13">
        <v>0</v>
      </c>
      <c r="F13" t="s">
        <v>155</v>
      </c>
      <c r="G13">
        <v>0</v>
      </c>
      <c r="H13" t="s">
        <v>155</v>
      </c>
      <c r="AL13">
        <v>0</v>
      </c>
      <c r="AM13">
        <v>0.3</v>
      </c>
      <c r="AN13">
        <v>0.4</v>
      </c>
      <c r="AO13">
        <v>0.3</v>
      </c>
      <c r="AP13" t="s">
        <v>268</v>
      </c>
      <c r="AQ13">
        <v>0.3</v>
      </c>
      <c r="AR13">
        <v>0.3</v>
      </c>
      <c r="AS13">
        <v>0.2</v>
      </c>
      <c r="AT13">
        <v>0.2</v>
      </c>
      <c r="AU13" t="s">
        <v>268</v>
      </c>
      <c r="AV13" t="s">
        <v>34</v>
      </c>
      <c r="AW13" t="s">
        <v>269</v>
      </c>
      <c r="AX13">
        <v>0</v>
      </c>
      <c r="AY13">
        <v>0</v>
      </c>
      <c r="AZ13">
        <v>0</v>
      </c>
      <c r="BA13">
        <v>0</v>
      </c>
      <c r="BB13">
        <v>100</v>
      </c>
      <c r="BC13">
        <v>40</v>
      </c>
      <c r="BD13">
        <v>0</v>
      </c>
      <c r="BE13">
        <v>0</v>
      </c>
      <c r="BF13">
        <v>0</v>
      </c>
      <c r="BG13">
        <v>0</v>
      </c>
      <c r="BH13" t="s">
        <v>270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100</v>
      </c>
      <c r="BO13">
        <v>0</v>
      </c>
      <c r="BP13">
        <v>0</v>
      </c>
      <c r="BQ13">
        <v>0</v>
      </c>
      <c r="BR13">
        <v>0</v>
      </c>
      <c r="BS13">
        <v>0</v>
      </c>
      <c r="BT13" t="s">
        <v>271</v>
      </c>
      <c r="BU13">
        <v>100</v>
      </c>
      <c r="BV13">
        <v>100</v>
      </c>
      <c r="BW13" t="s">
        <v>268</v>
      </c>
      <c r="BX13" t="s">
        <v>272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100</v>
      </c>
      <c r="CE13">
        <v>0</v>
      </c>
      <c r="CF13">
        <v>0</v>
      </c>
      <c r="CG13">
        <v>0</v>
      </c>
      <c r="CH13">
        <v>0</v>
      </c>
      <c r="CI13">
        <v>0</v>
      </c>
      <c r="CJ13" t="s">
        <v>273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100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100</v>
      </c>
      <c r="CW13" t="s">
        <v>274</v>
      </c>
      <c r="CX13" t="s">
        <v>268</v>
      </c>
      <c r="CY13">
        <v>0</v>
      </c>
    </row>
    <row r="14" spans="1:103" x14ac:dyDescent="0.2">
      <c r="E14">
        <v>0</v>
      </c>
      <c r="F14" t="s">
        <v>155</v>
      </c>
      <c r="G14">
        <v>0</v>
      </c>
      <c r="H14" t="s">
        <v>155</v>
      </c>
      <c r="AL14">
        <v>0</v>
      </c>
      <c r="AM14">
        <v>0.3</v>
      </c>
      <c r="AN14">
        <v>0.4</v>
      </c>
      <c r="AO14">
        <v>0.3</v>
      </c>
      <c r="AP14" t="s">
        <v>268</v>
      </c>
      <c r="AQ14">
        <v>0.3</v>
      </c>
      <c r="AR14">
        <v>0.3</v>
      </c>
      <c r="AS14">
        <v>0.2</v>
      </c>
      <c r="AT14">
        <v>0.2</v>
      </c>
      <c r="AU14" t="s">
        <v>268</v>
      </c>
      <c r="AV14" t="s">
        <v>34</v>
      </c>
      <c r="AW14" t="s">
        <v>269</v>
      </c>
      <c r="AX14">
        <v>0</v>
      </c>
      <c r="AY14">
        <v>0</v>
      </c>
      <c r="AZ14">
        <v>0</v>
      </c>
      <c r="BA14">
        <v>0</v>
      </c>
      <c r="BB14">
        <v>100</v>
      </c>
      <c r="BC14">
        <v>40</v>
      </c>
      <c r="BD14">
        <v>0</v>
      </c>
      <c r="BE14">
        <v>0</v>
      </c>
      <c r="BF14">
        <v>0</v>
      </c>
      <c r="BG14">
        <v>0</v>
      </c>
      <c r="BH14" t="s">
        <v>270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100</v>
      </c>
      <c r="BO14">
        <v>0</v>
      </c>
      <c r="BP14">
        <v>0</v>
      </c>
      <c r="BQ14">
        <v>0</v>
      </c>
      <c r="BR14">
        <v>0</v>
      </c>
      <c r="BS14">
        <v>0</v>
      </c>
      <c r="BT14" t="s">
        <v>271</v>
      </c>
      <c r="BU14">
        <v>100</v>
      </c>
      <c r="BV14">
        <v>100</v>
      </c>
      <c r="BW14" t="s">
        <v>268</v>
      </c>
      <c r="BX14" t="s">
        <v>272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100</v>
      </c>
      <c r="CE14">
        <v>0</v>
      </c>
      <c r="CF14">
        <v>0</v>
      </c>
      <c r="CG14">
        <v>0</v>
      </c>
      <c r="CH14">
        <v>0</v>
      </c>
      <c r="CI14">
        <v>0</v>
      </c>
      <c r="CJ14" t="s">
        <v>273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100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100</v>
      </c>
      <c r="CW14" t="s">
        <v>274</v>
      </c>
      <c r="CX14" t="s">
        <v>268</v>
      </c>
      <c r="CY14">
        <v>0</v>
      </c>
    </row>
    <row r="15" spans="1:103" x14ac:dyDescent="0.2">
      <c r="E15">
        <v>0</v>
      </c>
      <c r="F15" t="s">
        <v>155</v>
      </c>
      <c r="G15">
        <v>0</v>
      </c>
      <c r="H15" t="s">
        <v>155</v>
      </c>
      <c r="AL15">
        <v>0</v>
      </c>
      <c r="AM15">
        <v>0.3</v>
      </c>
      <c r="AN15">
        <v>0.4</v>
      </c>
      <c r="AO15">
        <v>0.3</v>
      </c>
      <c r="AP15" t="s">
        <v>268</v>
      </c>
      <c r="AQ15">
        <v>0.3</v>
      </c>
      <c r="AR15">
        <v>0.3</v>
      </c>
      <c r="AS15">
        <v>0.2</v>
      </c>
      <c r="AT15">
        <v>0.2</v>
      </c>
      <c r="AU15" t="s">
        <v>268</v>
      </c>
      <c r="AV15" t="s">
        <v>34</v>
      </c>
      <c r="AW15" t="s">
        <v>269</v>
      </c>
      <c r="AX15">
        <v>0</v>
      </c>
      <c r="AY15">
        <v>0</v>
      </c>
      <c r="AZ15">
        <v>0</v>
      </c>
      <c r="BA15">
        <v>0</v>
      </c>
      <c r="BB15">
        <v>100</v>
      </c>
      <c r="BC15">
        <v>40</v>
      </c>
      <c r="BD15">
        <v>0</v>
      </c>
      <c r="BE15">
        <v>0</v>
      </c>
      <c r="BF15">
        <v>0</v>
      </c>
      <c r="BG15">
        <v>0</v>
      </c>
      <c r="BH15" t="s">
        <v>270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100</v>
      </c>
      <c r="BO15">
        <v>0</v>
      </c>
      <c r="BP15">
        <v>0</v>
      </c>
      <c r="BQ15">
        <v>0</v>
      </c>
      <c r="BR15">
        <v>0</v>
      </c>
      <c r="BS15">
        <v>0</v>
      </c>
      <c r="BT15" t="s">
        <v>271</v>
      </c>
      <c r="BU15">
        <v>100</v>
      </c>
      <c r="BV15">
        <v>100</v>
      </c>
      <c r="BW15" t="s">
        <v>268</v>
      </c>
      <c r="BX15" t="s">
        <v>272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100</v>
      </c>
      <c r="CE15">
        <v>0</v>
      </c>
      <c r="CF15">
        <v>0</v>
      </c>
      <c r="CG15">
        <v>0</v>
      </c>
      <c r="CH15">
        <v>0</v>
      </c>
      <c r="CI15">
        <v>0</v>
      </c>
      <c r="CJ15" t="s">
        <v>273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100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100</v>
      </c>
      <c r="CW15" t="s">
        <v>274</v>
      </c>
      <c r="CX15" t="s">
        <v>268</v>
      </c>
      <c r="CY15">
        <v>0</v>
      </c>
    </row>
    <row r="16" spans="1:103" x14ac:dyDescent="0.2">
      <c r="E16">
        <v>0</v>
      </c>
      <c r="F16" t="s">
        <v>155</v>
      </c>
      <c r="G16">
        <v>0</v>
      </c>
      <c r="H16" t="s">
        <v>155</v>
      </c>
      <c r="AL16">
        <v>0</v>
      </c>
      <c r="AM16">
        <v>0.3</v>
      </c>
      <c r="AN16">
        <v>0.4</v>
      </c>
      <c r="AO16">
        <v>0.3</v>
      </c>
      <c r="AP16" t="s">
        <v>268</v>
      </c>
      <c r="AQ16">
        <v>0.3</v>
      </c>
      <c r="AR16">
        <v>0.3</v>
      </c>
      <c r="AS16">
        <v>0.2</v>
      </c>
      <c r="AT16">
        <v>0.2</v>
      </c>
      <c r="AU16" t="s">
        <v>268</v>
      </c>
      <c r="AV16" t="s">
        <v>34</v>
      </c>
      <c r="AW16" t="s">
        <v>269</v>
      </c>
      <c r="AX16">
        <v>0</v>
      </c>
      <c r="AY16">
        <v>0</v>
      </c>
      <c r="AZ16">
        <v>0</v>
      </c>
      <c r="BA16">
        <v>0</v>
      </c>
      <c r="BB16">
        <v>100</v>
      </c>
      <c r="BC16">
        <v>40</v>
      </c>
      <c r="BD16">
        <v>0</v>
      </c>
      <c r="BE16">
        <v>0</v>
      </c>
      <c r="BF16">
        <v>0</v>
      </c>
      <c r="BG16">
        <v>0</v>
      </c>
      <c r="BH16" t="s">
        <v>270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100</v>
      </c>
      <c r="BO16">
        <v>0</v>
      </c>
      <c r="BP16">
        <v>0</v>
      </c>
      <c r="BQ16">
        <v>0</v>
      </c>
      <c r="BR16">
        <v>0</v>
      </c>
      <c r="BS16">
        <v>0</v>
      </c>
      <c r="BT16" t="s">
        <v>271</v>
      </c>
      <c r="BU16">
        <v>100</v>
      </c>
      <c r="BV16">
        <v>100</v>
      </c>
      <c r="BW16" t="s">
        <v>268</v>
      </c>
      <c r="BX16" t="s">
        <v>272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100</v>
      </c>
      <c r="CE16">
        <v>0</v>
      </c>
      <c r="CF16">
        <v>0</v>
      </c>
      <c r="CG16">
        <v>0</v>
      </c>
      <c r="CH16">
        <v>0</v>
      </c>
      <c r="CI16">
        <v>0</v>
      </c>
      <c r="CJ16" t="s">
        <v>273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100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100</v>
      </c>
      <c r="CW16" t="s">
        <v>274</v>
      </c>
      <c r="CX16" t="s">
        <v>268</v>
      </c>
      <c r="CY16">
        <v>0</v>
      </c>
    </row>
    <row r="17" spans="5:103" x14ac:dyDescent="0.2">
      <c r="E17">
        <v>0</v>
      </c>
      <c r="F17" t="s">
        <v>155</v>
      </c>
      <c r="G17">
        <v>0</v>
      </c>
      <c r="H17" t="s">
        <v>155</v>
      </c>
      <c r="AL17">
        <v>0</v>
      </c>
      <c r="AM17">
        <v>0.3</v>
      </c>
      <c r="AN17">
        <v>0.4</v>
      </c>
      <c r="AO17">
        <v>0.3</v>
      </c>
      <c r="AP17" t="s">
        <v>268</v>
      </c>
      <c r="AQ17">
        <v>0.3</v>
      </c>
      <c r="AR17">
        <v>0.3</v>
      </c>
      <c r="AS17">
        <v>0.2</v>
      </c>
      <c r="AT17">
        <v>0.2</v>
      </c>
      <c r="AU17" t="s">
        <v>268</v>
      </c>
      <c r="AV17" t="s">
        <v>34</v>
      </c>
      <c r="AW17" t="s">
        <v>269</v>
      </c>
      <c r="AX17">
        <v>0</v>
      </c>
      <c r="AY17">
        <v>0</v>
      </c>
      <c r="AZ17">
        <v>0</v>
      </c>
      <c r="BA17">
        <v>0</v>
      </c>
      <c r="BB17">
        <v>100</v>
      </c>
      <c r="BC17">
        <v>40</v>
      </c>
      <c r="BD17">
        <v>0</v>
      </c>
      <c r="BE17">
        <v>0</v>
      </c>
      <c r="BF17">
        <v>0</v>
      </c>
      <c r="BG17">
        <v>0</v>
      </c>
      <c r="BH17" t="s">
        <v>270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100</v>
      </c>
      <c r="BO17">
        <v>0</v>
      </c>
      <c r="BP17">
        <v>0</v>
      </c>
      <c r="BQ17">
        <v>0</v>
      </c>
      <c r="BR17">
        <v>0</v>
      </c>
      <c r="BS17">
        <v>0</v>
      </c>
      <c r="BT17" t="s">
        <v>271</v>
      </c>
      <c r="BU17">
        <v>100</v>
      </c>
      <c r="BV17">
        <v>100</v>
      </c>
      <c r="BW17" t="s">
        <v>268</v>
      </c>
      <c r="BX17" t="s">
        <v>272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100</v>
      </c>
      <c r="CE17">
        <v>0</v>
      </c>
      <c r="CF17">
        <v>0</v>
      </c>
      <c r="CG17">
        <v>0</v>
      </c>
      <c r="CH17">
        <v>0</v>
      </c>
      <c r="CI17">
        <v>0</v>
      </c>
      <c r="CJ17" t="s">
        <v>273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100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100</v>
      </c>
      <c r="CW17" t="s">
        <v>274</v>
      </c>
      <c r="CX17" t="s">
        <v>268</v>
      </c>
      <c r="CY17">
        <v>0</v>
      </c>
    </row>
    <row r="18" spans="5:103" x14ac:dyDescent="0.2">
      <c r="E18">
        <v>0</v>
      </c>
      <c r="F18" t="s">
        <v>155</v>
      </c>
      <c r="G18">
        <v>0</v>
      </c>
      <c r="H18" t="s">
        <v>155</v>
      </c>
      <c r="AL18">
        <v>0</v>
      </c>
      <c r="AM18">
        <v>0.3</v>
      </c>
      <c r="AN18">
        <v>0.4</v>
      </c>
      <c r="AO18">
        <v>0.3</v>
      </c>
      <c r="AP18" t="s">
        <v>268</v>
      </c>
      <c r="AQ18">
        <v>0.3</v>
      </c>
      <c r="AR18">
        <v>0.3</v>
      </c>
      <c r="AS18">
        <v>0.2</v>
      </c>
      <c r="AT18">
        <v>0.2</v>
      </c>
      <c r="AU18" t="s">
        <v>268</v>
      </c>
      <c r="AV18" t="s">
        <v>34</v>
      </c>
      <c r="AW18" t="s">
        <v>269</v>
      </c>
      <c r="AX18">
        <v>0</v>
      </c>
      <c r="AY18">
        <v>0</v>
      </c>
      <c r="AZ18">
        <v>0</v>
      </c>
      <c r="BA18">
        <v>0</v>
      </c>
      <c r="BB18">
        <v>100</v>
      </c>
      <c r="BC18">
        <v>40</v>
      </c>
      <c r="BD18">
        <v>0</v>
      </c>
      <c r="BE18">
        <v>0</v>
      </c>
      <c r="BF18">
        <v>0</v>
      </c>
      <c r="BG18">
        <v>0</v>
      </c>
      <c r="BH18" t="s">
        <v>270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100</v>
      </c>
      <c r="BO18">
        <v>0</v>
      </c>
      <c r="BP18">
        <v>0</v>
      </c>
      <c r="BQ18">
        <v>0</v>
      </c>
      <c r="BR18">
        <v>0</v>
      </c>
      <c r="BS18">
        <v>0</v>
      </c>
      <c r="BT18" t="s">
        <v>271</v>
      </c>
      <c r="BU18">
        <v>100</v>
      </c>
      <c r="BV18">
        <v>100</v>
      </c>
      <c r="BW18" t="s">
        <v>268</v>
      </c>
      <c r="BX18" t="s">
        <v>272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100</v>
      </c>
      <c r="CE18">
        <v>0</v>
      </c>
      <c r="CF18">
        <v>0</v>
      </c>
      <c r="CG18">
        <v>0</v>
      </c>
      <c r="CH18">
        <v>0</v>
      </c>
      <c r="CI18">
        <v>0</v>
      </c>
      <c r="CJ18" t="s">
        <v>273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100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100</v>
      </c>
      <c r="CW18" t="s">
        <v>274</v>
      </c>
      <c r="CX18" t="s">
        <v>268</v>
      </c>
      <c r="CY18">
        <v>0</v>
      </c>
    </row>
    <row r="19" spans="5:103" x14ac:dyDescent="0.2">
      <c r="E19">
        <v>0</v>
      </c>
      <c r="F19" t="s">
        <v>155</v>
      </c>
      <c r="G19">
        <v>0</v>
      </c>
      <c r="H19" t="s">
        <v>155</v>
      </c>
      <c r="AL19">
        <v>0</v>
      </c>
      <c r="AM19">
        <v>0.3</v>
      </c>
      <c r="AN19">
        <v>0.4</v>
      </c>
      <c r="AO19">
        <v>0.3</v>
      </c>
      <c r="AP19" t="s">
        <v>268</v>
      </c>
      <c r="AQ19">
        <v>0.3</v>
      </c>
      <c r="AR19">
        <v>0.3</v>
      </c>
      <c r="AS19">
        <v>0.2</v>
      </c>
      <c r="AT19">
        <v>0.2</v>
      </c>
      <c r="AU19" t="s">
        <v>268</v>
      </c>
      <c r="AV19" t="s">
        <v>34</v>
      </c>
      <c r="AW19" t="s">
        <v>269</v>
      </c>
      <c r="AX19">
        <v>0</v>
      </c>
      <c r="AY19">
        <v>0</v>
      </c>
      <c r="AZ19">
        <v>0</v>
      </c>
      <c r="BA19">
        <v>0</v>
      </c>
      <c r="BB19">
        <v>100</v>
      </c>
      <c r="BC19">
        <v>40</v>
      </c>
      <c r="BD19">
        <v>0</v>
      </c>
      <c r="BE19">
        <v>0</v>
      </c>
      <c r="BF19">
        <v>0</v>
      </c>
      <c r="BG19">
        <v>0</v>
      </c>
      <c r="BH19" t="s">
        <v>270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100</v>
      </c>
      <c r="BO19">
        <v>0</v>
      </c>
      <c r="BP19">
        <v>0</v>
      </c>
      <c r="BQ19">
        <v>0</v>
      </c>
      <c r="BR19">
        <v>0</v>
      </c>
      <c r="BS19">
        <v>0</v>
      </c>
      <c r="BT19" t="s">
        <v>271</v>
      </c>
      <c r="BU19">
        <v>100</v>
      </c>
      <c r="BV19">
        <v>100</v>
      </c>
      <c r="BW19" t="s">
        <v>268</v>
      </c>
      <c r="BX19" t="s">
        <v>272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100</v>
      </c>
      <c r="CE19">
        <v>0</v>
      </c>
      <c r="CF19">
        <v>0</v>
      </c>
      <c r="CG19">
        <v>0</v>
      </c>
      <c r="CH19">
        <v>0</v>
      </c>
      <c r="CI19">
        <v>0</v>
      </c>
      <c r="CJ19" t="s">
        <v>273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100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100</v>
      </c>
      <c r="CW19" t="s">
        <v>274</v>
      </c>
      <c r="CX19" t="s">
        <v>268</v>
      </c>
      <c r="CY19">
        <v>0</v>
      </c>
    </row>
    <row r="20" spans="5:103" x14ac:dyDescent="0.2">
      <c r="E20">
        <v>0</v>
      </c>
      <c r="F20" t="s">
        <v>155</v>
      </c>
      <c r="G20">
        <v>0</v>
      </c>
      <c r="H20" t="s">
        <v>155</v>
      </c>
      <c r="AL20">
        <v>0</v>
      </c>
      <c r="AM20">
        <v>0.3</v>
      </c>
      <c r="AN20">
        <v>0.4</v>
      </c>
      <c r="AO20">
        <v>0.3</v>
      </c>
      <c r="AP20" t="s">
        <v>268</v>
      </c>
      <c r="AQ20">
        <v>0.3</v>
      </c>
      <c r="AR20">
        <v>0.3</v>
      </c>
      <c r="AS20">
        <v>0.2</v>
      </c>
      <c r="AT20">
        <v>0.2</v>
      </c>
      <c r="AU20" t="s">
        <v>268</v>
      </c>
      <c r="AV20" t="s">
        <v>34</v>
      </c>
      <c r="AW20" t="s">
        <v>269</v>
      </c>
      <c r="AX20">
        <v>0</v>
      </c>
      <c r="AY20">
        <v>0</v>
      </c>
      <c r="AZ20">
        <v>0</v>
      </c>
      <c r="BA20">
        <v>0</v>
      </c>
      <c r="BB20">
        <v>100</v>
      </c>
      <c r="BC20">
        <v>40</v>
      </c>
      <c r="BD20">
        <v>0</v>
      </c>
      <c r="BE20">
        <v>0</v>
      </c>
      <c r="BF20">
        <v>0</v>
      </c>
      <c r="BG20">
        <v>0</v>
      </c>
      <c r="BH20" t="s">
        <v>270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100</v>
      </c>
      <c r="BO20">
        <v>0</v>
      </c>
      <c r="BP20">
        <v>0</v>
      </c>
      <c r="BQ20">
        <v>0</v>
      </c>
      <c r="BR20">
        <v>0</v>
      </c>
      <c r="BS20">
        <v>0</v>
      </c>
      <c r="BT20" t="s">
        <v>271</v>
      </c>
      <c r="BU20">
        <v>100</v>
      </c>
      <c r="BV20">
        <v>100</v>
      </c>
      <c r="BW20" t="s">
        <v>268</v>
      </c>
      <c r="BX20" t="s">
        <v>272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100</v>
      </c>
      <c r="CE20">
        <v>0</v>
      </c>
      <c r="CF20">
        <v>0</v>
      </c>
      <c r="CG20">
        <v>0</v>
      </c>
      <c r="CH20">
        <v>0</v>
      </c>
      <c r="CI20">
        <v>0</v>
      </c>
      <c r="CJ20" t="s">
        <v>273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100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100</v>
      </c>
      <c r="CW20" t="s">
        <v>274</v>
      </c>
      <c r="CX20" t="s">
        <v>268</v>
      </c>
      <c r="CY20">
        <v>0</v>
      </c>
    </row>
    <row r="21" spans="5:103" x14ac:dyDescent="0.2">
      <c r="E21">
        <v>0</v>
      </c>
      <c r="F21" t="s">
        <v>155</v>
      </c>
      <c r="G21">
        <v>0</v>
      </c>
      <c r="H21" t="s">
        <v>155</v>
      </c>
      <c r="AL21">
        <v>0</v>
      </c>
      <c r="AM21">
        <v>0.3</v>
      </c>
      <c r="AN21">
        <v>0.4</v>
      </c>
      <c r="AO21">
        <v>0.3</v>
      </c>
      <c r="AP21" t="s">
        <v>268</v>
      </c>
      <c r="AQ21">
        <v>0.3</v>
      </c>
      <c r="AR21">
        <v>0.3</v>
      </c>
      <c r="AS21">
        <v>0.2</v>
      </c>
      <c r="AT21">
        <v>0.2</v>
      </c>
      <c r="AU21" t="s">
        <v>268</v>
      </c>
      <c r="AV21" t="s">
        <v>34</v>
      </c>
      <c r="AW21" t="s">
        <v>269</v>
      </c>
      <c r="AX21">
        <v>0</v>
      </c>
      <c r="AY21">
        <v>0</v>
      </c>
      <c r="AZ21">
        <v>0</v>
      </c>
      <c r="BA21">
        <v>0</v>
      </c>
      <c r="BB21">
        <v>100</v>
      </c>
      <c r="BC21">
        <v>40</v>
      </c>
      <c r="BD21">
        <v>0</v>
      </c>
      <c r="BE21">
        <v>0</v>
      </c>
      <c r="BF21">
        <v>0</v>
      </c>
      <c r="BG21">
        <v>0</v>
      </c>
      <c r="BH21" t="s">
        <v>270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100</v>
      </c>
      <c r="BO21">
        <v>0</v>
      </c>
      <c r="BP21">
        <v>0</v>
      </c>
      <c r="BQ21">
        <v>0</v>
      </c>
      <c r="BR21">
        <v>0</v>
      </c>
      <c r="BS21">
        <v>0</v>
      </c>
      <c r="BT21" t="s">
        <v>271</v>
      </c>
      <c r="BU21">
        <v>100</v>
      </c>
      <c r="BV21">
        <v>100</v>
      </c>
      <c r="BW21" t="s">
        <v>268</v>
      </c>
      <c r="BX21" t="s">
        <v>272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100</v>
      </c>
      <c r="CE21">
        <v>0</v>
      </c>
      <c r="CF21">
        <v>0</v>
      </c>
      <c r="CG21">
        <v>0</v>
      </c>
      <c r="CH21">
        <v>0</v>
      </c>
      <c r="CI21">
        <v>0</v>
      </c>
      <c r="CJ21" t="s">
        <v>273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100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100</v>
      </c>
      <c r="CW21" t="s">
        <v>274</v>
      </c>
      <c r="CX21" t="s">
        <v>268</v>
      </c>
      <c r="CY21">
        <v>0</v>
      </c>
    </row>
    <row r="22" spans="5:103" x14ac:dyDescent="0.2">
      <c r="E22">
        <v>0</v>
      </c>
      <c r="F22" t="s">
        <v>155</v>
      </c>
      <c r="G22">
        <v>0</v>
      </c>
      <c r="H22" t="s">
        <v>155</v>
      </c>
      <c r="AL22">
        <v>0</v>
      </c>
      <c r="AM22">
        <v>0.3</v>
      </c>
      <c r="AN22">
        <v>0.4</v>
      </c>
      <c r="AO22">
        <v>0.3</v>
      </c>
      <c r="AP22" t="s">
        <v>268</v>
      </c>
      <c r="AQ22">
        <v>0.3</v>
      </c>
      <c r="AR22">
        <v>0.3</v>
      </c>
      <c r="AS22">
        <v>0.2</v>
      </c>
      <c r="AT22">
        <v>0.2</v>
      </c>
      <c r="AU22" t="s">
        <v>268</v>
      </c>
      <c r="AV22" t="s">
        <v>34</v>
      </c>
      <c r="AW22" t="s">
        <v>269</v>
      </c>
      <c r="AX22">
        <v>0</v>
      </c>
      <c r="AY22">
        <v>0</v>
      </c>
      <c r="AZ22">
        <v>0</v>
      </c>
      <c r="BA22">
        <v>0</v>
      </c>
      <c r="BB22">
        <v>100</v>
      </c>
      <c r="BC22">
        <v>40</v>
      </c>
      <c r="BD22">
        <v>0</v>
      </c>
      <c r="BE22">
        <v>0</v>
      </c>
      <c r="BF22">
        <v>0</v>
      </c>
      <c r="BG22">
        <v>0</v>
      </c>
      <c r="BH22" t="s">
        <v>270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100</v>
      </c>
      <c r="BO22">
        <v>0</v>
      </c>
      <c r="BP22">
        <v>0</v>
      </c>
      <c r="BQ22">
        <v>0</v>
      </c>
      <c r="BR22">
        <v>0</v>
      </c>
      <c r="BS22">
        <v>0</v>
      </c>
      <c r="BT22" t="s">
        <v>271</v>
      </c>
      <c r="BU22">
        <v>100</v>
      </c>
      <c r="BV22">
        <v>100</v>
      </c>
      <c r="BW22" t="s">
        <v>268</v>
      </c>
      <c r="BX22" t="s">
        <v>272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100</v>
      </c>
      <c r="CE22">
        <v>0</v>
      </c>
      <c r="CF22">
        <v>0</v>
      </c>
      <c r="CG22">
        <v>0</v>
      </c>
      <c r="CH22">
        <v>0</v>
      </c>
      <c r="CI22">
        <v>0</v>
      </c>
      <c r="CJ22" t="s">
        <v>273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100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100</v>
      </c>
      <c r="CW22" t="s">
        <v>274</v>
      </c>
      <c r="CX22" t="s">
        <v>268</v>
      </c>
      <c r="CY22">
        <v>0</v>
      </c>
    </row>
    <row r="23" spans="5:103" x14ac:dyDescent="0.2">
      <c r="E23">
        <v>0</v>
      </c>
      <c r="F23" t="s">
        <v>155</v>
      </c>
      <c r="G23">
        <v>0</v>
      </c>
      <c r="H23" t="s">
        <v>155</v>
      </c>
      <c r="AL23">
        <v>0</v>
      </c>
      <c r="AM23">
        <v>0.3</v>
      </c>
      <c r="AN23">
        <v>0.4</v>
      </c>
      <c r="AO23">
        <v>0.3</v>
      </c>
      <c r="AP23" t="s">
        <v>268</v>
      </c>
      <c r="AQ23">
        <v>0.3</v>
      </c>
      <c r="AR23">
        <v>0.3</v>
      </c>
      <c r="AS23">
        <v>0.2</v>
      </c>
      <c r="AT23">
        <v>0.2</v>
      </c>
      <c r="AU23" t="s">
        <v>268</v>
      </c>
      <c r="AV23" t="s">
        <v>34</v>
      </c>
      <c r="AW23" t="s">
        <v>269</v>
      </c>
      <c r="AX23">
        <v>0</v>
      </c>
      <c r="AY23">
        <v>0</v>
      </c>
      <c r="AZ23">
        <v>0</v>
      </c>
      <c r="BA23">
        <v>0</v>
      </c>
      <c r="BB23">
        <v>100</v>
      </c>
      <c r="BC23">
        <v>40</v>
      </c>
      <c r="BD23">
        <v>0</v>
      </c>
      <c r="BE23">
        <v>0</v>
      </c>
      <c r="BF23">
        <v>0</v>
      </c>
      <c r="BG23">
        <v>0</v>
      </c>
      <c r="BH23" t="s">
        <v>270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100</v>
      </c>
      <c r="BO23">
        <v>0</v>
      </c>
      <c r="BP23">
        <v>0</v>
      </c>
      <c r="BQ23">
        <v>0</v>
      </c>
      <c r="BR23">
        <v>0</v>
      </c>
      <c r="BS23">
        <v>0</v>
      </c>
      <c r="BT23" t="s">
        <v>271</v>
      </c>
      <c r="BU23">
        <v>100</v>
      </c>
      <c r="BV23">
        <v>100</v>
      </c>
      <c r="BW23" t="s">
        <v>268</v>
      </c>
      <c r="BX23" t="s">
        <v>272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100</v>
      </c>
      <c r="CE23">
        <v>0</v>
      </c>
      <c r="CF23">
        <v>0</v>
      </c>
      <c r="CG23">
        <v>0</v>
      </c>
      <c r="CH23">
        <v>0</v>
      </c>
      <c r="CI23">
        <v>0</v>
      </c>
      <c r="CJ23" t="s">
        <v>273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100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100</v>
      </c>
      <c r="CW23" t="s">
        <v>274</v>
      </c>
      <c r="CX23" t="s">
        <v>268</v>
      </c>
      <c r="CY23">
        <v>0</v>
      </c>
    </row>
    <row r="24" spans="5:103" x14ac:dyDescent="0.2">
      <c r="E24">
        <v>0</v>
      </c>
      <c r="F24" t="s">
        <v>155</v>
      </c>
      <c r="G24">
        <v>0</v>
      </c>
      <c r="H24" t="s">
        <v>155</v>
      </c>
      <c r="AL24">
        <v>0</v>
      </c>
      <c r="AM24">
        <v>0.3</v>
      </c>
      <c r="AN24">
        <v>0.4</v>
      </c>
      <c r="AO24">
        <v>0.3</v>
      </c>
      <c r="AP24" t="s">
        <v>268</v>
      </c>
      <c r="AQ24">
        <v>0.3</v>
      </c>
      <c r="AR24">
        <v>0.3</v>
      </c>
      <c r="AS24">
        <v>0.2</v>
      </c>
      <c r="AT24">
        <v>0.2</v>
      </c>
      <c r="AU24" t="s">
        <v>268</v>
      </c>
      <c r="AV24" t="s">
        <v>34</v>
      </c>
      <c r="AW24" t="s">
        <v>269</v>
      </c>
      <c r="AX24">
        <v>0</v>
      </c>
      <c r="AY24">
        <v>0</v>
      </c>
      <c r="AZ24">
        <v>0</v>
      </c>
      <c r="BA24">
        <v>0</v>
      </c>
      <c r="BB24">
        <v>100</v>
      </c>
      <c r="BC24">
        <v>40</v>
      </c>
      <c r="BD24">
        <v>0</v>
      </c>
      <c r="BE24">
        <v>0</v>
      </c>
      <c r="BF24">
        <v>0</v>
      </c>
      <c r="BG24">
        <v>0</v>
      </c>
      <c r="BH24" t="s">
        <v>270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100</v>
      </c>
      <c r="BO24">
        <v>0</v>
      </c>
      <c r="BP24">
        <v>0</v>
      </c>
      <c r="BQ24">
        <v>0</v>
      </c>
      <c r="BR24">
        <v>0</v>
      </c>
      <c r="BS24">
        <v>0</v>
      </c>
      <c r="BT24" t="s">
        <v>271</v>
      </c>
      <c r="BU24">
        <v>100</v>
      </c>
      <c r="BV24">
        <v>100</v>
      </c>
      <c r="BW24" t="s">
        <v>268</v>
      </c>
      <c r="BX24" t="s">
        <v>272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100</v>
      </c>
      <c r="CE24">
        <v>0</v>
      </c>
      <c r="CF24">
        <v>0</v>
      </c>
      <c r="CG24">
        <v>0</v>
      </c>
      <c r="CH24">
        <v>0</v>
      </c>
      <c r="CI24">
        <v>0</v>
      </c>
      <c r="CJ24" t="s">
        <v>273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100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100</v>
      </c>
      <c r="CW24" t="s">
        <v>274</v>
      </c>
      <c r="CX24" t="s">
        <v>268</v>
      </c>
      <c r="CY24">
        <v>0</v>
      </c>
    </row>
    <row r="25" spans="5:103" x14ac:dyDescent="0.2">
      <c r="E25">
        <v>0</v>
      </c>
      <c r="F25" t="s">
        <v>155</v>
      </c>
      <c r="G25">
        <v>0</v>
      </c>
      <c r="H25" t="s">
        <v>155</v>
      </c>
      <c r="AL25">
        <v>0</v>
      </c>
      <c r="AM25">
        <v>0.3</v>
      </c>
      <c r="AN25">
        <v>0.4</v>
      </c>
      <c r="AO25">
        <v>0.3</v>
      </c>
      <c r="AP25" t="s">
        <v>268</v>
      </c>
      <c r="AQ25">
        <v>0.3</v>
      </c>
      <c r="AR25">
        <v>0.3</v>
      </c>
      <c r="AS25">
        <v>0.2</v>
      </c>
      <c r="AT25">
        <v>0.2</v>
      </c>
      <c r="AU25" t="s">
        <v>268</v>
      </c>
      <c r="AV25" t="s">
        <v>34</v>
      </c>
      <c r="AW25" t="s">
        <v>269</v>
      </c>
      <c r="AX25">
        <v>0</v>
      </c>
      <c r="AY25">
        <v>0</v>
      </c>
      <c r="AZ25">
        <v>0</v>
      </c>
      <c r="BA25">
        <v>0</v>
      </c>
      <c r="BB25">
        <v>100</v>
      </c>
      <c r="BC25">
        <v>40</v>
      </c>
      <c r="BD25">
        <v>0</v>
      </c>
      <c r="BE25">
        <v>0</v>
      </c>
      <c r="BF25">
        <v>0</v>
      </c>
      <c r="BG25">
        <v>0</v>
      </c>
      <c r="BH25" t="s">
        <v>270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100</v>
      </c>
      <c r="BO25">
        <v>0</v>
      </c>
      <c r="BP25">
        <v>0</v>
      </c>
      <c r="BQ25">
        <v>0</v>
      </c>
      <c r="BR25">
        <v>0</v>
      </c>
      <c r="BS25">
        <v>0</v>
      </c>
      <c r="BT25" t="s">
        <v>271</v>
      </c>
      <c r="BU25">
        <v>100</v>
      </c>
      <c r="BV25">
        <v>100</v>
      </c>
      <c r="BW25" t="s">
        <v>268</v>
      </c>
      <c r="BX25" t="s">
        <v>272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100</v>
      </c>
      <c r="CE25">
        <v>0</v>
      </c>
      <c r="CF25">
        <v>0</v>
      </c>
      <c r="CG25">
        <v>0</v>
      </c>
      <c r="CH25">
        <v>0</v>
      </c>
      <c r="CI25">
        <v>0</v>
      </c>
      <c r="CJ25" t="s">
        <v>273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100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100</v>
      </c>
      <c r="CW25" t="s">
        <v>274</v>
      </c>
      <c r="CX25" t="s">
        <v>268</v>
      </c>
      <c r="CY25">
        <v>0</v>
      </c>
    </row>
    <row r="26" spans="5:103" x14ac:dyDescent="0.2">
      <c r="E26">
        <v>0</v>
      </c>
      <c r="F26" t="s">
        <v>155</v>
      </c>
      <c r="G26">
        <v>0</v>
      </c>
      <c r="H26" t="s">
        <v>155</v>
      </c>
      <c r="AL26">
        <v>0</v>
      </c>
      <c r="AM26">
        <v>0.3</v>
      </c>
      <c r="AN26">
        <v>0.4</v>
      </c>
      <c r="AO26">
        <v>0.3</v>
      </c>
      <c r="AP26" t="s">
        <v>268</v>
      </c>
      <c r="AQ26">
        <v>0.3</v>
      </c>
      <c r="AR26">
        <v>0.3</v>
      </c>
      <c r="AS26">
        <v>0.2</v>
      </c>
      <c r="AT26">
        <v>0.2</v>
      </c>
      <c r="AU26" t="s">
        <v>268</v>
      </c>
      <c r="AV26" t="s">
        <v>34</v>
      </c>
      <c r="AW26" t="s">
        <v>269</v>
      </c>
      <c r="AX26">
        <v>0</v>
      </c>
      <c r="AY26">
        <v>0</v>
      </c>
      <c r="AZ26">
        <v>0</v>
      </c>
      <c r="BA26">
        <v>0</v>
      </c>
      <c r="BB26">
        <v>100</v>
      </c>
      <c r="BC26">
        <v>40</v>
      </c>
      <c r="BD26">
        <v>0</v>
      </c>
      <c r="BE26">
        <v>0</v>
      </c>
      <c r="BF26">
        <v>0</v>
      </c>
      <c r="BG26">
        <v>0</v>
      </c>
      <c r="BH26" t="s">
        <v>270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100</v>
      </c>
      <c r="BO26">
        <v>0</v>
      </c>
      <c r="BP26">
        <v>0</v>
      </c>
      <c r="BQ26">
        <v>0</v>
      </c>
      <c r="BR26">
        <v>0</v>
      </c>
      <c r="BS26">
        <v>0</v>
      </c>
      <c r="BT26" t="s">
        <v>271</v>
      </c>
      <c r="BU26">
        <v>100</v>
      </c>
      <c r="BV26">
        <v>100</v>
      </c>
      <c r="BW26" t="s">
        <v>268</v>
      </c>
      <c r="BX26" t="s">
        <v>272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100</v>
      </c>
      <c r="CE26">
        <v>0</v>
      </c>
      <c r="CF26">
        <v>0</v>
      </c>
      <c r="CG26">
        <v>0</v>
      </c>
      <c r="CH26">
        <v>0</v>
      </c>
      <c r="CI26">
        <v>0</v>
      </c>
      <c r="CJ26" t="s">
        <v>273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100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100</v>
      </c>
      <c r="CW26" t="s">
        <v>274</v>
      </c>
      <c r="CX26" t="s">
        <v>268</v>
      </c>
      <c r="CY26">
        <v>0</v>
      </c>
    </row>
    <row r="27" spans="5:103" x14ac:dyDescent="0.2">
      <c r="E27">
        <v>0</v>
      </c>
      <c r="F27" t="s">
        <v>155</v>
      </c>
      <c r="G27">
        <v>0</v>
      </c>
      <c r="H27" t="s">
        <v>155</v>
      </c>
      <c r="AL27">
        <v>0</v>
      </c>
      <c r="AM27">
        <v>0.3</v>
      </c>
      <c r="AN27">
        <v>0.4</v>
      </c>
      <c r="AO27">
        <v>0.3</v>
      </c>
      <c r="AP27" t="s">
        <v>268</v>
      </c>
      <c r="AQ27">
        <v>0.3</v>
      </c>
      <c r="AR27">
        <v>0.3</v>
      </c>
      <c r="AS27">
        <v>0.2</v>
      </c>
      <c r="AT27">
        <v>0.2</v>
      </c>
      <c r="AU27" t="s">
        <v>268</v>
      </c>
      <c r="AV27" t="s">
        <v>34</v>
      </c>
      <c r="AW27" t="s">
        <v>269</v>
      </c>
      <c r="AX27">
        <v>0</v>
      </c>
      <c r="AY27">
        <v>0</v>
      </c>
      <c r="AZ27">
        <v>0</v>
      </c>
      <c r="BA27">
        <v>0</v>
      </c>
      <c r="BB27">
        <v>100</v>
      </c>
      <c r="BC27">
        <v>40</v>
      </c>
      <c r="BD27">
        <v>0</v>
      </c>
      <c r="BE27">
        <v>0</v>
      </c>
      <c r="BF27">
        <v>0</v>
      </c>
      <c r="BG27">
        <v>0</v>
      </c>
      <c r="BH27" t="s">
        <v>270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100</v>
      </c>
      <c r="BO27">
        <v>0</v>
      </c>
      <c r="BP27">
        <v>0</v>
      </c>
      <c r="BQ27">
        <v>0</v>
      </c>
      <c r="BR27">
        <v>0</v>
      </c>
      <c r="BS27">
        <v>0</v>
      </c>
      <c r="BT27" t="s">
        <v>271</v>
      </c>
      <c r="BU27">
        <v>100</v>
      </c>
      <c r="BV27">
        <v>100</v>
      </c>
      <c r="BW27" t="s">
        <v>268</v>
      </c>
      <c r="BX27" t="s">
        <v>272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100</v>
      </c>
      <c r="CE27">
        <v>0</v>
      </c>
      <c r="CF27">
        <v>0</v>
      </c>
      <c r="CG27">
        <v>0</v>
      </c>
      <c r="CH27">
        <v>0</v>
      </c>
      <c r="CI27">
        <v>0</v>
      </c>
      <c r="CJ27" t="s">
        <v>273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100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100</v>
      </c>
      <c r="CW27" t="s">
        <v>274</v>
      </c>
      <c r="CX27" t="s">
        <v>268</v>
      </c>
      <c r="CY27">
        <v>0</v>
      </c>
    </row>
    <row r="28" spans="5:103" x14ac:dyDescent="0.2">
      <c r="E28">
        <v>0</v>
      </c>
      <c r="F28" t="s">
        <v>155</v>
      </c>
      <c r="G28">
        <v>0</v>
      </c>
      <c r="H28" t="s">
        <v>155</v>
      </c>
      <c r="AL28">
        <v>0</v>
      </c>
      <c r="AM28">
        <v>0.3</v>
      </c>
      <c r="AN28">
        <v>0.4</v>
      </c>
      <c r="AO28">
        <v>0.3</v>
      </c>
      <c r="AP28" t="s">
        <v>268</v>
      </c>
      <c r="AQ28">
        <v>0.3</v>
      </c>
      <c r="AR28">
        <v>0.3</v>
      </c>
      <c r="AS28">
        <v>0.2</v>
      </c>
      <c r="AT28">
        <v>0.2</v>
      </c>
      <c r="AU28" t="s">
        <v>268</v>
      </c>
      <c r="AV28" t="s">
        <v>34</v>
      </c>
      <c r="AW28" t="s">
        <v>269</v>
      </c>
      <c r="AX28">
        <v>0</v>
      </c>
      <c r="AY28">
        <v>0</v>
      </c>
      <c r="AZ28">
        <v>0</v>
      </c>
      <c r="BA28">
        <v>0</v>
      </c>
      <c r="BB28">
        <v>100</v>
      </c>
      <c r="BC28">
        <v>40</v>
      </c>
      <c r="BD28">
        <v>0</v>
      </c>
      <c r="BE28">
        <v>0</v>
      </c>
      <c r="BF28">
        <v>0</v>
      </c>
      <c r="BG28">
        <v>0</v>
      </c>
      <c r="BH28" t="s">
        <v>270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100</v>
      </c>
      <c r="BO28">
        <v>0</v>
      </c>
      <c r="BP28">
        <v>0</v>
      </c>
      <c r="BQ28">
        <v>0</v>
      </c>
      <c r="BR28">
        <v>0</v>
      </c>
      <c r="BS28">
        <v>0</v>
      </c>
      <c r="BT28" t="s">
        <v>271</v>
      </c>
      <c r="BU28">
        <v>100</v>
      </c>
      <c r="BV28">
        <v>100</v>
      </c>
      <c r="BW28" t="s">
        <v>268</v>
      </c>
      <c r="BX28" t="s">
        <v>272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100</v>
      </c>
      <c r="CE28">
        <v>0</v>
      </c>
      <c r="CF28">
        <v>0</v>
      </c>
      <c r="CG28">
        <v>0</v>
      </c>
      <c r="CH28">
        <v>0</v>
      </c>
      <c r="CI28">
        <v>0</v>
      </c>
      <c r="CJ28" t="s">
        <v>273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100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100</v>
      </c>
      <c r="CW28" t="s">
        <v>274</v>
      </c>
      <c r="CX28" t="s">
        <v>268</v>
      </c>
      <c r="CY28">
        <v>0</v>
      </c>
    </row>
    <row r="29" spans="5:103" x14ac:dyDescent="0.2">
      <c r="E29">
        <v>0</v>
      </c>
      <c r="F29" t="s">
        <v>155</v>
      </c>
      <c r="G29">
        <v>0</v>
      </c>
      <c r="H29" t="s">
        <v>155</v>
      </c>
      <c r="AL29">
        <v>0</v>
      </c>
      <c r="AM29">
        <v>0.3</v>
      </c>
      <c r="AN29">
        <v>0.4</v>
      </c>
      <c r="AO29">
        <v>0.3</v>
      </c>
      <c r="AP29" t="s">
        <v>268</v>
      </c>
      <c r="AQ29">
        <v>0.3</v>
      </c>
      <c r="AR29">
        <v>0.3</v>
      </c>
      <c r="AS29">
        <v>0.2</v>
      </c>
      <c r="AT29">
        <v>0.2</v>
      </c>
      <c r="AU29" t="s">
        <v>268</v>
      </c>
      <c r="AV29" t="s">
        <v>34</v>
      </c>
      <c r="AW29" t="s">
        <v>269</v>
      </c>
      <c r="AX29">
        <v>0</v>
      </c>
      <c r="AY29">
        <v>0</v>
      </c>
      <c r="AZ29">
        <v>0</v>
      </c>
      <c r="BA29">
        <v>0</v>
      </c>
      <c r="BB29">
        <v>100</v>
      </c>
      <c r="BC29">
        <v>40</v>
      </c>
      <c r="BD29">
        <v>0</v>
      </c>
      <c r="BE29">
        <v>0</v>
      </c>
      <c r="BF29">
        <v>0</v>
      </c>
      <c r="BG29">
        <v>0</v>
      </c>
      <c r="BH29" t="s">
        <v>270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100</v>
      </c>
      <c r="BO29">
        <v>0</v>
      </c>
      <c r="BP29">
        <v>0</v>
      </c>
      <c r="BQ29">
        <v>0</v>
      </c>
      <c r="BR29">
        <v>0</v>
      </c>
      <c r="BS29">
        <v>0</v>
      </c>
      <c r="BT29" t="s">
        <v>271</v>
      </c>
      <c r="BU29">
        <v>100</v>
      </c>
      <c r="BV29">
        <v>100</v>
      </c>
      <c r="BW29" t="s">
        <v>268</v>
      </c>
      <c r="BX29" t="s">
        <v>272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100</v>
      </c>
      <c r="CE29">
        <v>0</v>
      </c>
      <c r="CF29">
        <v>0</v>
      </c>
      <c r="CG29">
        <v>0</v>
      </c>
      <c r="CH29">
        <v>0</v>
      </c>
      <c r="CI29">
        <v>0</v>
      </c>
      <c r="CJ29" t="s">
        <v>273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100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100</v>
      </c>
      <c r="CW29" t="s">
        <v>274</v>
      </c>
      <c r="CX29" t="s">
        <v>268</v>
      </c>
      <c r="CY29">
        <v>0</v>
      </c>
    </row>
    <row r="30" spans="5:103" x14ac:dyDescent="0.2">
      <c r="E30">
        <v>0</v>
      </c>
      <c r="F30" t="s">
        <v>155</v>
      </c>
      <c r="G30">
        <v>0</v>
      </c>
      <c r="H30" t="s">
        <v>155</v>
      </c>
      <c r="AL30">
        <v>0</v>
      </c>
      <c r="AM30">
        <v>0.3</v>
      </c>
      <c r="AN30">
        <v>0.4</v>
      </c>
      <c r="AO30">
        <v>0.3</v>
      </c>
      <c r="AP30" t="s">
        <v>268</v>
      </c>
      <c r="AQ30">
        <v>0.3</v>
      </c>
      <c r="AR30">
        <v>0.3</v>
      </c>
      <c r="AS30">
        <v>0.2</v>
      </c>
      <c r="AT30">
        <v>0.2</v>
      </c>
      <c r="AU30" t="s">
        <v>268</v>
      </c>
      <c r="AV30" t="s">
        <v>34</v>
      </c>
      <c r="AW30" t="s">
        <v>269</v>
      </c>
      <c r="AX30">
        <v>0</v>
      </c>
      <c r="AY30">
        <v>0</v>
      </c>
      <c r="AZ30">
        <v>0</v>
      </c>
      <c r="BA30">
        <v>0</v>
      </c>
      <c r="BB30">
        <v>100</v>
      </c>
      <c r="BC30">
        <v>40</v>
      </c>
      <c r="BD30">
        <v>0</v>
      </c>
      <c r="BE30">
        <v>0</v>
      </c>
      <c r="BF30">
        <v>0</v>
      </c>
      <c r="BG30">
        <v>0</v>
      </c>
      <c r="BH30" t="s">
        <v>270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100</v>
      </c>
      <c r="BO30">
        <v>0</v>
      </c>
      <c r="BP30">
        <v>0</v>
      </c>
      <c r="BQ30">
        <v>0</v>
      </c>
      <c r="BR30">
        <v>0</v>
      </c>
      <c r="BS30">
        <v>0</v>
      </c>
      <c r="BT30" t="s">
        <v>271</v>
      </c>
      <c r="BU30">
        <v>100</v>
      </c>
      <c r="BV30">
        <v>100</v>
      </c>
      <c r="BW30" t="s">
        <v>268</v>
      </c>
      <c r="BX30" t="s">
        <v>272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100</v>
      </c>
      <c r="CE30">
        <v>0</v>
      </c>
      <c r="CF30">
        <v>0</v>
      </c>
      <c r="CG30">
        <v>0</v>
      </c>
      <c r="CH30">
        <v>0</v>
      </c>
      <c r="CI30">
        <v>0</v>
      </c>
      <c r="CJ30" t="s">
        <v>273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100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100</v>
      </c>
      <c r="CW30" t="s">
        <v>274</v>
      </c>
      <c r="CX30" t="s">
        <v>268</v>
      </c>
      <c r="CY30">
        <v>0</v>
      </c>
    </row>
    <row r="31" spans="5:103" x14ac:dyDescent="0.2">
      <c r="E31">
        <v>0</v>
      </c>
      <c r="F31" t="s">
        <v>155</v>
      </c>
      <c r="G31">
        <v>0</v>
      </c>
      <c r="H31" t="s">
        <v>155</v>
      </c>
      <c r="AL31">
        <v>0</v>
      </c>
      <c r="AM31">
        <v>0.3</v>
      </c>
      <c r="AN31">
        <v>0.4</v>
      </c>
      <c r="AO31">
        <v>0.3</v>
      </c>
      <c r="AP31" t="s">
        <v>268</v>
      </c>
      <c r="AQ31">
        <v>0.3</v>
      </c>
      <c r="AR31">
        <v>0.3</v>
      </c>
      <c r="AS31">
        <v>0.2</v>
      </c>
      <c r="AT31">
        <v>0.2</v>
      </c>
      <c r="AU31" t="s">
        <v>268</v>
      </c>
      <c r="AV31" t="s">
        <v>34</v>
      </c>
      <c r="AW31" t="s">
        <v>269</v>
      </c>
      <c r="AX31">
        <v>0</v>
      </c>
      <c r="AY31">
        <v>0</v>
      </c>
      <c r="AZ31">
        <v>0</v>
      </c>
      <c r="BA31">
        <v>0</v>
      </c>
      <c r="BB31">
        <v>100</v>
      </c>
      <c r="BC31">
        <v>40</v>
      </c>
      <c r="BD31">
        <v>0</v>
      </c>
      <c r="BE31">
        <v>0</v>
      </c>
      <c r="BF31">
        <v>0</v>
      </c>
      <c r="BG31">
        <v>0</v>
      </c>
      <c r="BH31" t="s">
        <v>270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100</v>
      </c>
      <c r="BO31">
        <v>0</v>
      </c>
      <c r="BP31">
        <v>0</v>
      </c>
      <c r="BQ31">
        <v>0</v>
      </c>
      <c r="BR31">
        <v>0</v>
      </c>
      <c r="BS31">
        <v>0</v>
      </c>
      <c r="BT31" t="s">
        <v>271</v>
      </c>
      <c r="BU31">
        <v>100</v>
      </c>
      <c r="BV31">
        <v>100</v>
      </c>
      <c r="BW31" t="s">
        <v>268</v>
      </c>
      <c r="BX31" t="s">
        <v>272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100</v>
      </c>
      <c r="CE31">
        <v>0</v>
      </c>
      <c r="CF31">
        <v>0</v>
      </c>
      <c r="CG31">
        <v>0</v>
      </c>
      <c r="CH31">
        <v>0</v>
      </c>
      <c r="CI31">
        <v>0</v>
      </c>
      <c r="CJ31" t="s">
        <v>273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100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100</v>
      </c>
      <c r="CW31" t="s">
        <v>274</v>
      </c>
      <c r="CX31" t="s">
        <v>268</v>
      </c>
      <c r="CY31">
        <v>0</v>
      </c>
    </row>
    <row r="32" spans="5:103" x14ac:dyDescent="0.2">
      <c r="E32">
        <v>0</v>
      </c>
      <c r="F32" t="s">
        <v>155</v>
      </c>
      <c r="G32">
        <v>0</v>
      </c>
      <c r="H32" t="s">
        <v>155</v>
      </c>
      <c r="AL32">
        <v>0</v>
      </c>
      <c r="AM32">
        <v>0.3</v>
      </c>
      <c r="AN32">
        <v>0.4</v>
      </c>
      <c r="AO32">
        <v>0.3</v>
      </c>
      <c r="AP32" t="s">
        <v>268</v>
      </c>
      <c r="AQ32">
        <v>0.3</v>
      </c>
      <c r="AR32">
        <v>0.3</v>
      </c>
      <c r="AS32">
        <v>0.2</v>
      </c>
      <c r="AT32">
        <v>0.2</v>
      </c>
      <c r="AU32" t="s">
        <v>268</v>
      </c>
      <c r="AV32" t="s">
        <v>34</v>
      </c>
      <c r="AW32" t="s">
        <v>269</v>
      </c>
      <c r="AX32">
        <v>0</v>
      </c>
      <c r="AY32">
        <v>0</v>
      </c>
      <c r="AZ32">
        <v>0</v>
      </c>
      <c r="BA32">
        <v>0</v>
      </c>
      <c r="BB32">
        <v>100</v>
      </c>
      <c r="BC32">
        <v>40</v>
      </c>
      <c r="BD32">
        <v>0</v>
      </c>
      <c r="BE32">
        <v>0</v>
      </c>
      <c r="BF32">
        <v>0</v>
      </c>
      <c r="BG32">
        <v>0</v>
      </c>
      <c r="BH32" t="s">
        <v>270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100</v>
      </c>
      <c r="BO32">
        <v>0</v>
      </c>
      <c r="BP32">
        <v>0</v>
      </c>
      <c r="BQ32">
        <v>0</v>
      </c>
      <c r="BR32">
        <v>0</v>
      </c>
      <c r="BS32">
        <v>0</v>
      </c>
      <c r="BT32" t="s">
        <v>271</v>
      </c>
      <c r="BU32">
        <v>100</v>
      </c>
      <c r="BV32">
        <v>100</v>
      </c>
      <c r="BW32" t="s">
        <v>268</v>
      </c>
      <c r="BX32" t="s">
        <v>272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100</v>
      </c>
      <c r="CE32">
        <v>0</v>
      </c>
      <c r="CF32">
        <v>0</v>
      </c>
      <c r="CG32">
        <v>0</v>
      </c>
      <c r="CH32">
        <v>0</v>
      </c>
      <c r="CI32">
        <v>0</v>
      </c>
      <c r="CJ32" t="s">
        <v>273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100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100</v>
      </c>
      <c r="CW32" t="s">
        <v>274</v>
      </c>
      <c r="CX32" t="s">
        <v>268</v>
      </c>
      <c r="CY32">
        <v>0</v>
      </c>
    </row>
    <row r="33" spans="5:103" x14ac:dyDescent="0.2">
      <c r="E33">
        <v>0</v>
      </c>
      <c r="F33" t="s">
        <v>155</v>
      </c>
      <c r="G33">
        <v>0</v>
      </c>
      <c r="H33" t="s">
        <v>155</v>
      </c>
      <c r="AL33">
        <v>0</v>
      </c>
      <c r="AM33">
        <v>0.3</v>
      </c>
      <c r="AN33">
        <v>0.4</v>
      </c>
      <c r="AO33">
        <v>0.3</v>
      </c>
      <c r="AP33" t="s">
        <v>268</v>
      </c>
      <c r="AQ33">
        <v>0.3</v>
      </c>
      <c r="AR33">
        <v>0.3</v>
      </c>
      <c r="AS33">
        <v>0.2</v>
      </c>
      <c r="AT33">
        <v>0.2</v>
      </c>
      <c r="AU33" t="s">
        <v>268</v>
      </c>
      <c r="AV33" t="s">
        <v>34</v>
      </c>
      <c r="AW33" t="s">
        <v>269</v>
      </c>
      <c r="AX33">
        <v>0</v>
      </c>
      <c r="AY33">
        <v>0</v>
      </c>
      <c r="AZ33">
        <v>0</v>
      </c>
      <c r="BA33">
        <v>0</v>
      </c>
      <c r="BB33">
        <v>100</v>
      </c>
      <c r="BC33">
        <v>40</v>
      </c>
      <c r="BD33">
        <v>0</v>
      </c>
      <c r="BE33">
        <v>0</v>
      </c>
      <c r="BF33">
        <v>0</v>
      </c>
      <c r="BG33">
        <v>0</v>
      </c>
      <c r="BH33" t="s">
        <v>270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100</v>
      </c>
      <c r="BO33">
        <v>0</v>
      </c>
      <c r="BP33">
        <v>0</v>
      </c>
      <c r="BQ33">
        <v>0</v>
      </c>
      <c r="BR33">
        <v>0</v>
      </c>
      <c r="BS33">
        <v>0</v>
      </c>
      <c r="BT33" t="s">
        <v>271</v>
      </c>
      <c r="BU33">
        <v>100</v>
      </c>
      <c r="BV33">
        <v>100</v>
      </c>
      <c r="BW33" t="s">
        <v>268</v>
      </c>
      <c r="BX33" t="s">
        <v>272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100</v>
      </c>
      <c r="CE33">
        <v>0</v>
      </c>
      <c r="CF33">
        <v>0</v>
      </c>
      <c r="CG33">
        <v>0</v>
      </c>
      <c r="CH33">
        <v>0</v>
      </c>
      <c r="CI33">
        <v>0</v>
      </c>
      <c r="CJ33" t="s">
        <v>273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100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100</v>
      </c>
      <c r="CW33" t="s">
        <v>274</v>
      </c>
      <c r="CX33" t="s">
        <v>268</v>
      </c>
      <c r="CY33">
        <v>0</v>
      </c>
    </row>
    <row r="34" spans="5:103" x14ac:dyDescent="0.2">
      <c r="E34">
        <v>0</v>
      </c>
      <c r="F34" t="s">
        <v>155</v>
      </c>
      <c r="G34">
        <v>0</v>
      </c>
      <c r="H34" t="s">
        <v>155</v>
      </c>
      <c r="AL34">
        <v>0</v>
      </c>
      <c r="AM34">
        <v>0.3</v>
      </c>
      <c r="AN34">
        <v>0.4</v>
      </c>
      <c r="AO34">
        <v>0.3</v>
      </c>
      <c r="AP34" t="s">
        <v>268</v>
      </c>
      <c r="AQ34">
        <v>0.3</v>
      </c>
      <c r="AR34">
        <v>0.3</v>
      </c>
      <c r="AS34">
        <v>0.2</v>
      </c>
      <c r="AT34">
        <v>0.2</v>
      </c>
      <c r="AU34" t="s">
        <v>268</v>
      </c>
      <c r="AV34" t="s">
        <v>34</v>
      </c>
      <c r="AW34" t="s">
        <v>269</v>
      </c>
      <c r="AX34">
        <v>0</v>
      </c>
      <c r="AY34">
        <v>0</v>
      </c>
      <c r="AZ34">
        <v>0</v>
      </c>
      <c r="BA34">
        <v>0</v>
      </c>
      <c r="BB34">
        <v>100</v>
      </c>
      <c r="BC34">
        <v>40</v>
      </c>
      <c r="BD34">
        <v>0</v>
      </c>
      <c r="BE34">
        <v>0</v>
      </c>
      <c r="BF34">
        <v>0</v>
      </c>
      <c r="BG34">
        <v>0</v>
      </c>
      <c r="BH34" t="s">
        <v>270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100</v>
      </c>
      <c r="BO34">
        <v>0</v>
      </c>
      <c r="BP34">
        <v>0</v>
      </c>
      <c r="BQ34">
        <v>0</v>
      </c>
      <c r="BR34">
        <v>0</v>
      </c>
      <c r="BS34">
        <v>0</v>
      </c>
      <c r="BT34" t="s">
        <v>271</v>
      </c>
      <c r="BU34">
        <v>100</v>
      </c>
      <c r="BV34">
        <v>100</v>
      </c>
      <c r="BW34" t="s">
        <v>268</v>
      </c>
      <c r="BX34" t="s">
        <v>272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100</v>
      </c>
      <c r="CE34">
        <v>0</v>
      </c>
      <c r="CF34">
        <v>0</v>
      </c>
      <c r="CG34">
        <v>0</v>
      </c>
      <c r="CH34">
        <v>0</v>
      </c>
      <c r="CI34">
        <v>0</v>
      </c>
      <c r="CJ34" t="s">
        <v>273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100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100</v>
      </c>
      <c r="CW34" t="s">
        <v>274</v>
      </c>
      <c r="CX34" t="s">
        <v>268</v>
      </c>
      <c r="CY34">
        <v>0</v>
      </c>
    </row>
    <row r="35" spans="5:103" x14ac:dyDescent="0.2">
      <c r="E35">
        <v>0</v>
      </c>
      <c r="F35" t="s">
        <v>155</v>
      </c>
      <c r="G35">
        <v>0</v>
      </c>
      <c r="H35" t="s">
        <v>155</v>
      </c>
      <c r="AL35">
        <v>0</v>
      </c>
      <c r="AM35">
        <v>0.3</v>
      </c>
      <c r="AN35">
        <v>0.4</v>
      </c>
      <c r="AO35">
        <v>0.3</v>
      </c>
      <c r="AP35" t="s">
        <v>268</v>
      </c>
      <c r="AQ35">
        <v>0.3</v>
      </c>
      <c r="AR35">
        <v>0.3</v>
      </c>
      <c r="AS35">
        <v>0.2</v>
      </c>
      <c r="AT35">
        <v>0.2</v>
      </c>
      <c r="AU35" t="s">
        <v>268</v>
      </c>
      <c r="AV35" t="s">
        <v>34</v>
      </c>
      <c r="AW35" t="s">
        <v>269</v>
      </c>
      <c r="AX35">
        <v>0</v>
      </c>
      <c r="AY35">
        <v>0</v>
      </c>
      <c r="AZ35">
        <v>0</v>
      </c>
      <c r="BA35">
        <v>0</v>
      </c>
      <c r="BB35">
        <v>100</v>
      </c>
      <c r="BC35">
        <v>40</v>
      </c>
      <c r="BD35">
        <v>0</v>
      </c>
      <c r="BE35">
        <v>0</v>
      </c>
      <c r="BF35">
        <v>0</v>
      </c>
      <c r="BG35">
        <v>0</v>
      </c>
      <c r="BH35" t="s">
        <v>270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100</v>
      </c>
      <c r="BO35">
        <v>0</v>
      </c>
      <c r="BP35">
        <v>0</v>
      </c>
      <c r="BQ35">
        <v>0</v>
      </c>
      <c r="BR35">
        <v>0</v>
      </c>
      <c r="BS35">
        <v>0</v>
      </c>
      <c r="BT35" t="s">
        <v>271</v>
      </c>
      <c r="BU35">
        <v>100</v>
      </c>
      <c r="BV35">
        <v>100</v>
      </c>
      <c r="BW35" t="s">
        <v>268</v>
      </c>
      <c r="BX35" t="s">
        <v>272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100</v>
      </c>
      <c r="CE35">
        <v>0</v>
      </c>
      <c r="CF35">
        <v>0</v>
      </c>
      <c r="CG35">
        <v>0</v>
      </c>
      <c r="CH35">
        <v>0</v>
      </c>
      <c r="CI35">
        <v>0</v>
      </c>
      <c r="CJ35" t="s">
        <v>273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100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100</v>
      </c>
      <c r="CW35" t="s">
        <v>274</v>
      </c>
      <c r="CX35" t="s">
        <v>268</v>
      </c>
      <c r="CY35">
        <v>0</v>
      </c>
    </row>
    <row r="36" spans="5:103" x14ac:dyDescent="0.2">
      <c r="E36">
        <v>0</v>
      </c>
      <c r="F36" t="s">
        <v>155</v>
      </c>
      <c r="G36">
        <v>0</v>
      </c>
      <c r="H36" t="s">
        <v>155</v>
      </c>
      <c r="AL36">
        <v>0</v>
      </c>
      <c r="AM36">
        <v>0.3</v>
      </c>
      <c r="AN36">
        <v>0.4</v>
      </c>
      <c r="AO36">
        <v>0.3</v>
      </c>
      <c r="AP36" t="s">
        <v>268</v>
      </c>
      <c r="AQ36">
        <v>0.3</v>
      </c>
      <c r="AR36">
        <v>0.3</v>
      </c>
      <c r="AS36">
        <v>0.2</v>
      </c>
      <c r="AT36">
        <v>0.2</v>
      </c>
      <c r="AU36" t="s">
        <v>268</v>
      </c>
      <c r="AV36" t="s">
        <v>34</v>
      </c>
      <c r="AW36" t="s">
        <v>269</v>
      </c>
      <c r="AX36">
        <v>0</v>
      </c>
      <c r="AY36">
        <v>0</v>
      </c>
      <c r="AZ36">
        <v>0</v>
      </c>
      <c r="BA36">
        <v>0</v>
      </c>
      <c r="BB36">
        <v>100</v>
      </c>
      <c r="BC36">
        <v>40</v>
      </c>
      <c r="BD36">
        <v>0</v>
      </c>
      <c r="BE36">
        <v>0</v>
      </c>
      <c r="BF36">
        <v>0</v>
      </c>
      <c r="BG36">
        <v>0</v>
      </c>
      <c r="BH36" t="s">
        <v>270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100</v>
      </c>
      <c r="BO36">
        <v>0</v>
      </c>
      <c r="BP36">
        <v>0</v>
      </c>
      <c r="BQ36">
        <v>0</v>
      </c>
      <c r="BR36">
        <v>0</v>
      </c>
      <c r="BS36">
        <v>0</v>
      </c>
      <c r="BT36" t="s">
        <v>271</v>
      </c>
      <c r="BU36">
        <v>100</v>
      </c>
      <c r="BV36">
        <v>100</v>
      </c>
      <c r="BW36" t="s">
        <v>268</v>
      </c>
      <c r="BX36" t="s">
        <v>272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100</v>
      </c>
      <c r="CE36">
        <v>0</v>
      </c>
      <c r="CF36">
        <v>0</v>
      </c>
      <c r="CG36">
        <v>0</v>
      </c>
      <c r="CH36">
        <v>0</v>
      </c>
      <c r="CI36">
        <v>0</v>
      </c>
      <c r="CJ36" t="s">
        <v>273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100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100</v>
      </c>
      <c r="CW36" t="s">
        <v>274</v>
      </c>
      <c r="CX36" t="s">
        <v>268</v>
      </c>
      <c r="CY36">
        <v>0</v>
      </c>
    </row>
    <row r="37" spans="5:103" x14ac:dyDescent="0.2">
      <c r="E37">
        <v>0</v>
      </c>
      <c r="F37" t="s">
        <v>155</v>
      </c>
      <c r="G37">
        <v>0</v>
      </c>
      <c r="H37" t="s">
        <v>155</v>
      </c>
      <c r="AL37">
        <v>0</v>
      </c>
      <c r="AM37">
        <v>0.3</v>
      </c>
      <c r="AN37">
        <v>0.4</v>
      </c>
      <c r="AO37">
        <v>0.3</v>
      </c>
      <c r="AP37" t="s">
        <v>268</v>
      </c>
      <c r="AQ37">
        <v>0.3</v>
      </c>
      <c r="AR37">
        <v>0.3</v>
      </c>
      <c r="AS37">
        <v>0.2</v>
      </c>
      <c r="AT37">
        <v>0.2</v>
      </c>
      <c r="AU37" t="s">
        <v>268</v>
      </c>
      <c r="AV37" t="s">
        <v>34</v>
      </c>
      <c r="AW37" t="s">
        <v>269</v>
      </c>
      <c r="AX37">
        <v>0</v>
      </c>
      <c r="AY37">
        <v>0</v>
      </c>
      <c r="AZ37">
        <v>0</v>
      </c>
      <c r="BA37">
        <v>0</v>
      </c>
      <c r="BB37">
        <v>100</v>
      </c>
      <c r="BC37">
        <v>40</v>
      </c>
      <c r="BD37">
        <v>0</v>
      </c>
      <c r="BE37">
        <v>0</v>
      </c>
      <c r="BF37">
        <v>0</v>
      </c>
      <c r="BG37">
        <v>0</v>
      </c>
      <c r="BH37" t="s">
        <v>270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100</v>
      </c>
      <c r="BO37">
        <v>0</v>
      </c>
      <c r="BP37">
        <v>0</v>
      </c>
      <c r="BQ37">
        <v>0</v>
      </c>
      <c r="BR37">
        <v>0</v>
      </c>
      <c r="BS37">
        <v>0</v>
      </c>
      <c r="BT37" t="s">
        <v>271</v>
      </c>
      <c r="BU37">
        <v>100</v>
      </c>
      <c r="BV37">
        <v>100</v>
      </c>
      <c r="BW37" t="s">
        <v>268</v>
      </c>
      <c r="BX37" t="s">
        <v>272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100</v>
      </c>
      <c r="CE37">
        <v>0</v>
      </c>
      <c r="CF37">
        <v>0</v>
      </c>
      <c r="CG37">
        <v>0</v>
      </c>
      <c r="CH37">
        <v>0</v>
      </c>
      <c r="CI37">
        <v>0</v>
      </c>
      <c r="CJ37" t="s">
        <v>273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100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100</v>
      </c>
      <c r="CW37" t="s">
        <v>274</v>
      </c>
      <c r="CX37" t="s">
        <v>268</v>
      </c>
      <c r="CY37">
        <v>0</v>
      </c>
    </row>
    <row r="38" spans="5:103" x14ac:dyDescent="0.2">
      <c r="E38">
        <v>0</v>
      </c>
      <c r="F38" t="s">
        <v>155</v>
      </c>
      <c r="G38">
        <v>0</v>
      </c>
      <c r="H38" t="s">
        <v>155</v>
      </c>
      <c r="AL38">
        <v>0</v>
      </c>
      <c r="AM38">
        <v>0.3</v>
      </c>
      <c r="AN38">
        <v>0.4</v>
      </c>
      <c r="AO38">
        <v>0.3</v>
      </c>
      <c r="AP38" t="s">
        <v>268</v>
      </c>
      <c r="AQ38">
        <v>0.3</v>
      </c>
      <c r="AR38">
        <v>0.3</v>
      </c>
      <c r="AS38">
        <v>0.2</v>
      </c>
      <c r="AT38">
        <v>0.2</v>
      </c>
      <c r="AU38" t="s">
        <v>268</v>
      </c>
      <c r="AV38" t="s">
        <v>34</v>
      </c>
      <c r="AW38" t="s">
        <v>269</v>
      </c>
      <c r="AX38">
        <v>0</v>
      </c>
      <c r="AY38">
        <v>0</v>
      </c>
      <c r="AZ38">
        <v>0</v>
      </c>
      <c r="BA38">
        <v>0</v>
      </c>
      <c r="BB38">
        <v>100</v>
      </c>
      <c r="BC38">
        <v>40</v>
      </c>
      <c r="BD38">
        <v>0</v>
      </c>
      <c r="BE38">
        <v>0</v>
      </c>
      <c r="BF38">
        <v>0</v>
      </c>
      <c r="BG38">
        <v>0</v>
      </c>
      <c r="BH38" t="s">
        <v>270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100</v>
      </c>
      <c r="BO38">
        <v>0</v>
      </c>
      <c r="BP38">
        <v>0</v>
      </c>
      <c r="BQ38">
        <v>0</v>
      </c>
      <c r="BR38">
        <v>0</v>
      </c>
      <c r="BS38">
        <v>0</v>
      </c>
      <c r="BT38" t="s">
        <v>271</v>
      </c>
      <c r="BU38">
        <v>100</v>
      </c>
      <c r="BV38">
        <v>100</v>
      </c>
      <c r="BW38" t="s">
        <v>268</v>
      </c>
      <c r="BX38" t="s">
        <v>272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100</v>
      </c>
      <c r="CE38">
        <v>0</v>
      </c>
      <c r="CF38">
        <v>0</v>
      </c>
      <c r="CG38">
        <v>0</v>
      </c>
      <c r="CH38">
        <v>0</v>
      </c>
      <c r="CI38">
        <v>0</v>
      </c>
      <c r="CJ38" t="s">
        <v>273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100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100</v>
      </c>
      <c r="CW38" t="s">
        <v>274</v>
      </c>
      <c r="CX38" t="s">
        <v>268</v>
      </c>
      <c r="CY38">
        <v>0</v>
      </c>
    </row>
    <row r="39" spans="5:103" x14ac:dyDescent="0.2">
      <c r="E39">
        <v>0</v>
      </c>
      <c r="F39" t="s">
        <v>155</v>
      </c>
      <c r="G39">
        <v>0</v>
      </c>
      <c r="H39" t="s">
        <v>155</v>
      </c>
      <c r="AL39">
        <v>0</v>
      </c>
      <c r="AM39">
        <v>0.3</v>
      </c>
      <c r="AN39">
        <v>0.4</v>
      </c>
      <c r="AO39">
        <v>0.3</v>
      </c>
      <c r="AP39" t="s">
        <v>268</v>
      </c>
      <c r="AQ39">
        <v>0.3</v>
      </c>
      <c r="AR39">
        <v>0.3</v>
      </c>
      <c r="AS39">
        <v>0.2</v>
      </c>
      <c r="AT39">
        <v>0.2</v>
      </c>
      <c r="AU39" t="s">
        <v>268</v>
      </c>
      <c r="AV39" t="s">
        <v>34</v>
      </c>
      <c r="AW39" t="s">
        <v>269</v>
      </c>
      <c r="AX39">
        <v>0</v>
      </c>
      <c r="AY39">
        <v>0</v>
      </c>
      <c r="AZ39">
        <v>0</v>
      </c>
      <c r="BA39">
        <v>0</v>
      </c>
      <c r="BB39">
        <v>100</v>
      </c>
      <c r="BC39">
        <v>40</v>
      </c>
      <c r="BD39">
        <v>0</v>
      </c>
      <c r="BE39">
        <v>0</v>
      </c>
      <c r="BF39">
        <v>0</v>
      </c>
      <c r="BG39">
        <v>0</v>
      </c>
      <c r="BH39" t="s">
        <v>270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100</v>
      </c>
      <c r="BO39">
        <v>0</v>
      </c>
      <c r="BP39">
        <v>0</v>
      </c>
      <c r="BQ39">
        <v>0</v>
      </c>
      <c r="BR39">
        <v>0</v>
      </c>
      <c r="BS39">
        <v>0</v>
      </c>
      <c r="BT39" t="s">
        <v>271</v>
      </c>
      <c r="BU39">
        <v>100</v>
      </c>
      <c r="BV39">
        <v>100</v>
      </c>
      <c r="BW39" t="s">
        <v>268</v>
      </c>
      <c r="BX39" t="s">
        <v>272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100</v>
      </c>
      <c r="CE39">
        <v>0</v>
      </c>
      <c r="CF39">
        <v>0</v>
      </c>
      <c r="CG39">
        <v>0</v>
      </c>
      <c r="CH39">
        <v>0</v>
      </c>
      <c r="CI39">
        <v>0</v>
      </c>
      <c r="CJ39" t="s">
        <v>273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100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100</v>
      </c>
      <c r="CW39" t="s">
        <v>274</v>
      </c>
      <c r="CX39" t="s">
        <v>268</v>
      </c>
      <c r="CY39">
        <v>0</v>
      </c>
    </row>
    <row r="40" spans="5:103" x14ac:dyDescent="0.2">
      <c r="E40">
        <v>0</v>
      </c>
      <c r="F40" t="s">
        <v>155</v>
      </c>
      <c r="G40">
        <v>0</v>
      </c>
      <c r="H40" t="s">
        <v>155</v>
      </c>
      <c r="AL40">
        <v>0</v>
      </c>
      <c r="AM40">
        <v>0.3</v>
      </c>
      <c r="AN40">
        <v>0.4</v>
      </c>
      <c r="AO40">
        <v>0.3</v>
      </c>
      <c r="AP40" t="s">
        <v>268</v>
      </c>
      <c r="AQ40">
        <v>0.3</v>
      </c>
      <c r="AR40">
        <v>0.3</v>
      </c>
      <c r="AS40">
        <v>0.2</v>
      </c>
      <c r="AT40">
        <v>0.2</v>
      </c>
      <c r="AU40" t="s">
        <v>268</v>
      </c>
      <c r="AV40" t="s">
        <v>34</v>
      </c>
      <c r="AW40" t="s">
        <v>269</v>
      </c>
      <c r="AX40">
        <v>0</v>
      </c>
      <c r="AY40">
        <v>0</v>
      </c>
      <c r="AZ40">
        <v>0</v>
      </c>
      <c r="BA40">
        <v>0</v>
      </c>
      <c r="BB40">
        <v>100</v>
      </c>
      <c r="BC40">
        <v>40</v>
      </c>
      <c r="BD40">
        <v>0</v>
      </c>
      <c r="BE40">
        <v>0</v>
      </c>
      <c r="BF40">
        <v>0</v>
      </c>
      <c r="BG40">
        <v>0</v>
      </c>
      <c r="BH40" t="s">
        <v>270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100</v>
      </c>
      <c r="BO40">
        <v>0</v>
      </c>
      <c r="BP40">
        <v>0</v>
      </c>
      <c r="BQ40">
        <v>0</v>
      </c>
      <c r="BR40">
        <v>0</v>
      </c>
      <c r="BS40">
        <v>0</v>
      </c>
      <c r="BT40" t="s">
        <v>271</v>
      </c>
      <c r="BU40">
        <v>100</v>
      </c>
      <c r="BV40">
        <v>100</v>
      </c>
      <c r="BW40" t="s">
        <v>268</v>
      </c>
      <c r="BX40" t="s">
        <v>272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100</v>
      </c>
      <c r="CE40">
        <v>0</v>
      </c>
      <c r="CF40">
        <v>0</v>
      </c>
      <c r="CG40">
        <v>0</v>
      </c>
      <c r="CH40">
        <v>0</v>
      </c>
      <c r="CI40">
        <v>0</v>
      </c>
      <c r="CJ40" t="s">
        <v>273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100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100</v>
      </c>
      <c r="CW40" t="s">
        <v>274</v>
      </c>
      <c r="CX40" t="s">
        <v>268</v>
      </c>
      <c r="CY40">
        <v>0</v>
      </c>
    </row>
    <row r="41" spans="5:103" x14ac:dyDescent="0.2">
      <c r="E41">
        <v>0</v>
      </c>
      <c r="F41" t="s">
        <v>155</v>
      </c>
      <c r="G41">
        <v>0</v>
      </c>
      <c r="H41" t="s">
        <v>155</v>
      </c>
      <c r="AL41">
        <v>0</v>
      </c>
      <c r="AM41">
        <v>0.3</v>
      </c>
      <c r="AN41">
        <v>0.4</v>
      </c>
      <c r="AO41">
        <v>0.3</v>
      </c>
      <c r="AP41" t="s">
        <v>268</v>
      </c>
      <c r="AQ41">
        <v>0.3</v>
      </c>
      <c r="AR41">
        <v>0.3</v>
      </c>
      <c r="AS41">
        <v>0.2</v>
      </c>
      <c r="AT41">
        <v>0.2</v>
      </c>
      <c r="AU41" t="s">
        <v>268</v>
      </c>
      <c r="AV41" t="s">
        <v>34</v>
      </c>
      <c r="AW41" t="s">
        <v>269</v>
      </c>
      <c r="AX41">
        <v>0</v>
      </c>
      <c r="AY41">
        <v>0</v>
      </c>
      <c r="AZ41">
        <v>0</v>
      </c>
      <c r="BA41">
        <v>0</v>
      </c>
      <c r="BB41">
        <v>100</v>
      </c>
      <c r="BC41">
        <v>40</v>
      </c>
      <c r="BD41">
        <v>0</v>
      </c>
      <c r="BE41">
        <v>0</v>
      </c>
      <c r="BF41">
        <v>0</v>
      </c>
      <c r="BG41">
        <v>0</v>
      </c>
      <c r="BH41" t="s">
        <v>270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100</v>
      </c>
      <c r="BO41">
        <v>0</v>
      </c>
      <c r="BP41">
        <v>0</v>
      </c>
      <c r="BQ41">
        <v>0</v>
      </c>
      <c r="BR41">
        <v>0</v>
      </c>
      <c r="BS41">
        <v>0</v>
      </c>
      <c r="BT41" t="s">
        <v>271</v>
      </c>
      <c r="BU41">
        <v>100</v>
      </c>
      <c r="BV41">
        <v>100</v>
      </c>
      <c r="BW41" t="s">
        <v>268</v>
      </c>
      <c r="BX41" t="s">
        <v>272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100</v>
      </c>
      <c r="CE41">
        <v>0</v>
      </c>
      <c r="CF41">
        <v>0</v>
      </c>
      <c r="CG41">
        <v>0</v>
      </c>
      <c r="CH41">
        <v>0</v>
      </c>
      <c r="CI41">
        <v>0</v>
      </c>
      <c r="CJ41" t="s">
        <v>273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100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100</v>
      </c>
      <c r="CW41" t="s">
        <v>274</v>
      </c>
      <c r="CX41" t="s">
        <v>268</v>
      </c>
      <c r="CY41">
        <v>0</v>
      </c>
    </row>
    <row r="42" spans="5:103" x14ac:dyDescent="0.2">
      <c r="E42">
        <v>0</v>
      </c>
      <c r="F42" t="s">
        <v>155</v>
      </c>
      <c r="G42">
        <v>0</v>
      </c>
      <c r="H42" t="s">
        <v>155</v>
      </c>
      <c r="AL42">
        <v>0</v>
      </c>
      <c r="AM42">
        <v>0.3</v>
      </c>
      <c r="AN42">
        <v>0.4</v>
      </c>
      <c r="AO42">
        <v>0.3</v>
      </c>
      <c r="AP42" t="s">
        <v>268</v>
      </c>
      <c r="AQ42">
        <v>0.3</v>
      </c>
      <c r="AR42">
        <v>0.3</v>
      </c>
      <c r="AS42">
        <v>0.2</v>
      </c>
      <c r="AT42">
        <v>0.2</v>
      </c>
      <c r="AU42" t="s">
        <v>268</v>
      </c>
      <c r="AV42" t="s">
        <v>34</v>
      </c>
      <c r="AW42" t="s">
        <v>269</v>
      </c>
      <c r="AX42">
        <v>0</v>
      </c>
      <c r="AY42">
        <v>0</v>
      </c>
      <c r="AZ42">
        <v>0</v>
      </c>
      <c r="BA42">
        <v>0</v>
      </c>
      <c r="BB42">
        <v>100</v>
      </c>
      <c r="BC42">
        <v>40</v>
      </c>
      <c r="BD42">
        <v>0</v>
      </c>
      <c r="BE42">
        <v>0</v>
      </c>
      <c r="BF42">
        <v>0</v>
      </c>
      <c r="BG42">
        <v>0</v>
      </c>
      <c r="BH42" t="s">
        <v>270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100</v>
      </c>
      <c r="BO42">
        <v>0</v>
      </c>
      <c r="BP42">
        <v>0</v>
      </c>
      <c r="BQ42">
        <v>0</v>
      </c>
      <c r="BR42">
        <v>0</v>
      </c>
      <c r="BS42">
        <v>0</v>
      </c>
      <c r="BT42" t="s">
        <v>271</v>
      </c>
      <c r="BU42">
        <v>100</v>
      </c>
      <c r="BV42">
        <v>100</v>
      </c>
      <c r="BW42" t="s">
        <v>268</v>
      </c>
      <c r="BX42" t="s">
        <v>272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100</v>
      </c>
      <c r="CE42">
        <v>0</v>
      </c>
      <c r="CF42">
        <v>0</v>
      </c>
      <c r="CG42">
        <v>0</v>
      </c>
      <c r="CH42">
        <v>0</v>
      </c>
      <c r="CI42">
        <v>0</v>
      </c>
      <c r="CJ42" t="s">
        <v>273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100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100</v>
      </c>
      <c r="CW42" t="s">
        <v>274</v>
      </c>
      <c r="CX42" t="s">
        <v>268</v>
      </c>
      <c r="CY42">
        <v>0</v>
      </c>
    </row>
    <row r="43" spans="5:103" x14ac:dyDescent="0.2">
      <c r="E43">
        <v>0</v>
      </c>
      <c r="F43" t="s">
        <v>155</v>
      </c>
      <c r="G43">
        <v>0</v>
      </c>
      <c r="H43" t="s">
        <v>155</v>
      </c>
      <c r="AL43">
        <v>0</v>
      </c>
      <c r="AM43">
        <v>0.3</v>
      </c>
      <c r="AN43">
        <v>0.4</v>
      </c>
      <c r="AO43">
        <v>0.3</v>
      </c>
      <c r="AP43" t="s">
        <v>268</v>
      </c>
      <c r="AQ43">
        <v>0.3</v>
      </c>
      <c r="AR43">
        <v>0.3</v>
      </c>
      <c r="AS43">
        <v>0.2</v>
      </c>
      <c r="AT43">
        <v>0.2</v>
      </c>
      <c r="AU43" t="s">
        <v>268</v>
      </c>
      <c r="AV43" t="s">
        <v>34</v>
      </c>
      <c r="AW43" t="s">
        <v>269</v>
      </c>
      <c r="AX43">
        <v>0</v>
      </c>
      <c r="AY43">
        <v>0</v>
      </c>
      <c r="AZ43">
        <v>0</v>
      </c>
      <c r="BA43">
        <v>0</v>
      </c>
      <c r="BB43">
        <v>100</v>
      </c>
      <c r="BC43">
        <v>40</v>
      </c>
      <c r="BD43">
        <v>0</v>
      </c>
      <c r="BE43">
        <v>0</v>
      </c>
      <c r="BF43">
        <v>0</v>
      </c>
      <c r="BG43">
        <v>0</v>
      </c>
      <c r="BH43" t="s">
        <v>270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100</v>
      </c>
      <c r="BO43">
        <v>0</v>
      </c>
      <c r="BP43">
        <v>0</v>
      </c>
      <c r="BQ43">
        <v>0</v>
      </c>
      <c r="BR43">
        <v>0</v>
      </c>
      <c r="BS43">
        <v>0</v>
      </c>
      <c r="BT43" t="s">
        <v>271</v>
      </c>
      <c r="BU43">
        <v>100</v>
      </c>
      <c r="BV43">
        <v>100</v>
      </c>
      <c r="BW43" t="s">
        <v>268</v>
      </c>
      <c r="BX43" t="s">
        <v>272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100</v>
      </c>
      <c r="CE43">
        <v>0</v>
      </c>
      <c r="CF43">
        <v>0</v>
      </c>
      <c r="CG43">
        <v>0</v>
      </c>
      <c r="CH43">
        <v>0</v>
      </c>
      <c r="CI43">
        <v>0</v>
      </c>
      <c r="CJ43" t="s">
        <v>273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100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100</v>
      </c>
      <c r="CW43" t="s">
        <v>274</v>
      </c>
      <c r="CX43" t="s">
        <v>268</v>
      </c>
      <c r="CY43">
        <v>0</v>
      </c>
    </row>
    <row r="44" spans="5:103" x14ac:dyDescent="0.2">
      <c r="E44">
        <v>0</v>
      </c>
      <c r="F44" t="s">
        <v>155</v>
      </c>
      <c r="G44">
        <v>0</v>
      </c>
      <c r="H44" t="s">
        <v>155</v>
      </c>
      <c r="AL44">
        <v>0</v>
      </c>
      <c r="AM44">
        <v>0.3</v>
      </c>
      <c r="AN44">
        <v>0.4</v>
      </c>
      <c r="AO44">
        <v>0.3</v>
      </c>
      <c r="AP44" t="s">
        <v>268</v>
      </c>
      <c r="AQ44">
        <v>0.3</v>
      </c>
      <c r="AR44">
        <v>0.3</v>
      </c>
      <c r="AS44">
        <v>0.2</v>
      </c>
      <c r="AT44">
        <v>0.2</v>
      </c>
      <c r="AU44" t="s">
        <v>268</v>
      </c>
      <c r="AV44" t="s">
        <v>34</v>
      </c>
      <c r="AW44" t="s">
        <v>269</v>
      </c>
      <c r="AX44">
        <v>0</v>
      </c>
      <c r="AY44">
        <v>0</v>
      </c>
      <c r="AZ44">
        <v>0</v>
      </c>
      <c r="BA44">
        <v>0</v>
      </c>
      <c r="BB44">
        <v>100</v>
      </c>
      <c r="BC44">
        <v>40</v>
      </c>
      <c r="BD44">
        <v>0</v>
      </c>
      <c r="BE44">
        <v>0</v>
      </c>
      <c r="BF44">
        <v>0</v>
      </c>
      <c r="BG44">
        <v>0</v>
      </c>
      <c r="BH44" t="s">
        <v>270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100</v>
      </c>
      <c r="BO44">
        <v>0</v>
      </c>
      <c r="BP44">
        <v>0</v>
      </c>
      <c r="BQ44">
        <v>0</v>
      </c>
      <c r="BR44">
        <v>0</v>
      </c>
      <c r="BS44">
        <v>0</v>
      </c>
      <c r="BT44" t="s">
        <v>271</v>
      </c>
      <c r="BU44">
        <v>100</v>
      </c>
      <c r="BV44">
        <v>100</v>
      </c>
      <c r="BW44" t="s">
        <v>268</v>
      </c>
      <c r="BX44" t="s">
        <v>272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100</v>
      </c>
      <c r="CE44">
        <v>0</v>
      </c>
      <c r="CF44">
        <v>0</v>
      </c>
      <c r="CG44">
        <v>0</v>
      </c>
      <c r="CH44">
        <v>0</v>
      </c>
      <c r="CI44">
        <v>0</v>
      </c>
      <c r="CJ44" t="s">
        <v>273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100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100</v>
      </c>
      <c r="CW44" t="s">
        <v>274</v>
      </c>
      <c r="CX44" t="s">
        <v>268</v>
      </c>
      <c r="CY44">
        <v>0</v>
      </c>
    </row>
    <row r="45" spans="5:103" x14ac:dyDescent="0.2">
      <c r="E45">
        <v>0</v>
      </c>
      <c r="F45" t="s">
        <v>155</v>
      </c>
      <c r="G45">
        <v>0</v>
      </c>
      <c r="H45" t="s">
        <v>155</v>
      </c>
      <c r="AL45">
        <v>0</v>
      </c>
      <c r="AM45">
        <v>0.3</v>
      </c>
      <c r="AN45">
        <v>0.4</v>
      </c>
      <c r="AO45">
        <v>0.3</v>
      </c>
      <c r="AP45" t="s">
        <v>268</v>
      </c>
      <c r="AQ45">
        <v>0.3</v>
      </c>
      <c r="AR45">
        <v>0.3</v>
      </c>
      <c r="AS45">
        <v>0.2</v>
      </c>
      <c r="AT45">
        <v>0.2</v>
      </c>
      <c r="AU45" t="s">
        <v>268</v>
      </c>
      <c r="AV45" t="s">
        <v>34</v>
      </c>
      <c r="AW45" t="s">
        <v>269</v>
      </c>
      <c r="AX45">
        <v>0</v>
      </c>
      <c r="AY45">
        <v>0</v>
      </c>
      <c r="AZ45">
        <v>0</v>
      </c>
      <c r="BA45">
        <v>0</v>
      </c>
      <c r="BB45">
        <v>100</v>
      </c>
      <c r="BC45">
        <v>40</v>
      </c>
      <c r="BD45">
        <v>0</v>
      </c>
      <c r="BE45">
        <v>0</v>
      </c>
      <c r="BF45">
        <v>0</v>
      </c>
      <c r="BG45">
        <v>0</v>
      </c>
      <c r="BH45" t="s">
        <v>270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100</v>
      </c>
      <c r="BO45">
        <v>0</v>
      </c>
      <c r="BP45">
        <v>0</v>
      </c>
      <c r="BQ45">
        <v>0</v>
      </c>
      <c r="BR45">
        <v>0</v>
      </c>
      <c r="BS45">
        <v>0</v>
      </c>
      <c r="BT45" t="s">
        <v>271</v>
      </c>
      <c r="BU45">
        <v>100</v>
      </c>
      <c r="BV45">
        <v>100</v>
      </c>
      <c r="BW45" t="s">
        <v>268</v>
      </c>
      <c r="BX45" t="s">
        <v>272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100</v>
      </c>
      <c r="CE45">
        <v>0</v>
      </c>
      <c r="CF45">
        <v>0</v>
      </c>
      <c r="CG45">
        <v>0</v>
      </c>
      <c r="CH45">
        <v>0</v>
      </c>
      <c r="CI45">
        <v>0</v>
      </c>
      <c r="CJ45" t="s">
        <v>273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100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100</v>
      </c>
      <c r="CW45" t="s">
        <v>274</v>
      </c>
      <c r="CX45" t="s">
        <v>268</v>
      </c>
      <c r="CY45">
        <v>0</v>
      </c>
    </row>
    <row r="46" spans="5:103" x14ac:dyDescent="0.2">
      <c r="E46">
        <v>0</v>
      </c>
      <c r="F46" t="s">
        <v>155</v>
      </c>
      <c r="G46">
        <v>0</v>
      </c>
      <c r="H46" t="s">
        <v>155</v>
      </c>
      <c r="AL46">
        <v>0</v>
      </c>
      <c r="AM46">
        <v>0.3</v>
      </c>
      <c r="AN46">
        <v>0.4</v>
      </c>
      <c r="AO46">
        <v>0.3</v>
      </c>
      <c r="AP46" t="s">
        <v>268</v>
      </c>
      <c r="AQ46">
        <v>0.3</v>
      </c>
      <c r="AR46">
        <v>0.3</v>
      </c>
      <c r="AS46">
        <v>0.2</v>
      </c>
      <c r="AT46">
        <v>0.2</v>
      </c>
      <c r="AU46" t="s">
        <v>268</v>
      </c>
      <c r="AV46" t="s">
        <v>34</v>
      </c>
      <c r="AW46" t="s">
        <v>269</v>
      </c>
      <c r="AX46">
        <v>0</v>
      </c>
      <c r="AY46">
        <v>0</v>
      </c>
      <c r="AZ46">
        <v>0</v>
      </c>
      <c r="BA46">
        <v>0</v>
      </c>
      <c r="BB46">
        <v>100</v>
      </c>
      <c r="BC46">
        <v>40</v>
      </c>
      <c r="BD46">
        <v>0</v>
      </c>
      <c r="BE46">
        <v>0</v>
      </c>
      <c r="BF46">
        <v>0</v>
      </c>
      <c r="BG46">
        <v>0</v>
      </c>
      <c r="BH46" t="s">
        <v>270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100</v>
      </c>
      <c r="BO46">
        <v>0</v>
      </c>
      <c r="BP46">
        <v>0</v>
      </c>
      <c r="BQ46">
        <v>0</v>
      </c>
      <c r="BR46">
        <v>0</v>
      </c>
      <c r="BS46">
        <v>0</v>
      </c>
      <c r="BT46" t="s">
        <v>271</v>
      </c>
      <c r="BU46">
        <v>100</v>
      </c>
      <c r="BV46">
        <v>100</v>
      </c>
      <c r="BW46" t="s">
        <v>268</v>
      </c>
      <c r="BX46" t="s">
        <v>272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100</v>
      </c>
      <c r="CE46">
        <v>0</v>
      </c>
      <c r="CF46">
        <v>0</v>
      </c>
      <c r="CG46">
        <v>0</v>
      </c>
      <c r="CH46">
        <v>0</v>
      </c>
      <c r="CI46">
        <v>0</v>
      </c>
      <c r="CJ46" t="s">
        <v>273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100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100</v>
      </c>
      <c r="CW46" t="s">
        <v>274</v>
      </c>
      <c r="CX46" t="s">
        <v>268</v>
      </c>
      <c r="CY46">
        <v>0</v>
      </c>
    </row>
    <row r="47" spans="5:103" x14ac:dyDescent="0.2">
      <c r="E47">
        <v>0</v>
      </c>
      <c r="F47" t="s">
        <v>155</v>
      </c>
      <c r="G47">
        <v>0</v>
      </c>
      <c r="H47" t="s">
        <v>155</v>
      </c>
      <c r="AL47">
        <v>0</v>
      </c>
      <c r="AM47">
        <v>0.3</v>
      </c>
      <c r="AN47">
        <v>0.4</v>
      </c>
      <c r="AO47">
        <v>0.3</v>
      </c>
      <c r="AP47" t="s">
        <v>268</v>
      </c>
      <c r="AQ47">
        <v>0.3</v>
      </c>
      <c r="AR47">
        <v>0.3</v>
      </c>
      <c r="AS47">
        <v>0.2</v>
      </c>
      <c r="AT47">
        <v>0.2</v>
      </c>
      <c r="AU47" t="s">
        <v>268</v>
      </c>
      <c r="AV47" t="s">
        <v>34</v>
      </c>
      <c r="AW47" t="s">
        <v>269</v>
      </c>
      <c r="AX47">
        <v>0</v>
      </c>
      <c r="AY47">
        <v>0</v>
      </c>
      <c r="AZ47">
        <v>0</v>
      </c>
      <c r="BA47">
        <v>0</v>
      </c>
      <c r="BB47">
        <v>100</v>
      </c>
      <c r="BC47">
        <v>40</v>
      </c>
      <c r="BD47">
        <v>0</v>
      </c>
      <c r="BE47">
        <v>0</v>
      </c>
      <c r="BF47">
        <v>0</v>
      </c>
      <c r="BG47">
        <v>0</v>
      </c>
      <c r="BH47" t="s">
        <v>270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100</v>
      </c>
      <c r="BO47">
        <v>0</v>
      </c>
      <c r="BP47">
        <v>0</v>
      </c>
      <c r="BQ47">
        <v>0</v>
      </c>
      <c r="BR47">
        <v>0</v>
      </c>
      <c r="BS47">
        <v>0</v>
      </c>
      <c r="BT47" t="s">
        <v>271</v>
      </c>
      <c r="BU47">
        <v>100</v>
      </c>
      <c r="BV47">
        <v>100</v>
      </c>
      <c r="BW47" t="s">
        <v>268</v>
      </c>
      <c r="BX47" t="s">
        <v>272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100</v>
      </c>
      <c r="CE47">
        <v>0</v>
      </c>
      <c r="CF47">
        <v>0</v>
      </c>
      <c r="CG47">
        <v>0</v>
      </c>
      <c r="CH47">
        <v>0</v>
      </c>
      <c r="CI47">
        <v>0</v>
      </c>
      <c r="CJ47" t="s">
        <v>273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100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100</v>
      </c>
      <c r="CW47" t="s">
        <v>274</v>
      </c>
      <c r="CX47" t="s">
        <v>268</v>
      </c>
      <c r="CY47">
        <v>0</v>
      </c>
    </row>
    <row r="48" spans="5:103" x14ac:dyDescent="0.2">
      <c r="E48">
        <v>0</v>
      </c>
      <c r="F48" t="s">
        <v>155</v>
      </c>
      <c r="G48">
        <v>0</v>
      </c>
      <c r="H48" t="s">
        <v>155</v>
      </c>
      <c r="AL48">
        <v>0</v>
      </c>
      <c r="AM48">
        <v>0.3</v>
      </c>
      <c r="AN48">
        <v>0.4</v>
      </c>
      <c r="AO48">
        <v>0.3</v>
      </c>
      <c r="AP48" t="s">
        <v>268</v>
      </c>
      <c r="AQ48">
        <v>0.3</v>
      </c>
      <c r="AR48">
        <v>0.3</v>
      </c>
      <c r="AS48">
        <v>0.2</v>
      </c>
      <c r="AT48">
        <v>0.2</v>
      </c>
      <c r="AU48" t="s">
        <v>268</v>
      </c>
      <c r="AV48" t="s">
        <v>34</v>
      </c>
      <c r="AW48" t="s">
        <v>269</v>
      </c>
      <c r="AX48">
        <v>0</v>
      </c>
      <c r="AY48">
        <v>0</v>
      </c>
      <c r="AZ48">
        <v>0</v>
      </c>
      <c r="BA48">
        <v>0</v>
      </c>
      <c r="BB48">
        <v>100</v>
      </c>
      <c r="BC48">
        <v>40</v>
      </c>
      <c r="BD48">
        <v>0</v>
      </c>
      <c r="BE48">
        <v>0</v>
      </c>
      <c r="BF48">
        <v>0</v>
      </c>
      <c r="BG48">
        <v>0</v>
      </c>
      <c r="BH48" t="s">
        <v>270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100</v>
      </c>
      <c r="BO48">
        <v>0</v>
      </c>
      <c r="BP48">
        <v>0</v>
      </c>
      <c r="BQ48">
        <v>0</v>
      </c>
      <c r="BR48">
        <v>0</v>
      </c>
      <c r="BS48">
        <v>0</v>
      </c>
      <c r="BT48" t="s">
        <v>271</v>
      </c>
      <c r="BU48">
        <v>100</v>
      </c>
      <c r="BV48">
        <v>100</v>
      </c>
      <c r="BW48" t="s">
        <v>268</v>
      </c>
      <c r="BX48" t="s">
        <v>272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100</v>
      </c>
      <c r="CE48">
        <v>0</v>
      </c>
      <c r="CF48">
        <v>0</v>
      </c>
      <c r="CG48">
        <v>0</v>
      </c>
      <c r="CH48">
        <v>0</v>
      </c>
      <c r="CI48">
        <v>0</v>
      </c>
      <c r="CJ48" t="s">
        <v>273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100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100</v>
      </c>
      <c r="CW48" t="s">
        <v>274</v>
      </c>
      <c r="CX48" t="s">
        <v>268</v>
      </c>
      <c r="CY48">
        <v>0</v>
      </c>
    </row>
    <row r="49" spans="5:103" x14ac:dyDescent="0.2">
      <c r="E49">
        <v>0</v>
      </c>
      <c r="F49" t="s">
        <v>155</v>
      </c>
      <c r="G49">
        <v>0</v>
      </c>
      <c r="H49" t="s">
        <v>155</v>
      </c>
      <c r="AL49">
        <v>0</v>
      </c>
      <c r="AM49">
        <v>0.3</v>
      </c>
      <c r="AN49">
        <v>0.4</v>
      </c>
      <c r="AO49">
        <v>0.3</v>
      </c>
      <c r="AP49" t="s">
        <v>268</v>
      </c>
      <c r="AQ49">
        <v>0.3</v>
      </c>
      <c r="AR49">
        <v>0.3</v>
      </c>
      <c r="AS49">
        <v>0.2</v>
      </c>
      <c r="AT49">
        <v>0.2</v>
      </c>
      <c r="AU49" t="s">
        <v>268</v>
      </c>
      <c r="AV49" t="s">
        <v>34</v>
      </c>
      <c r="AW49" t="s">
        <v>269</v>
      </c>
      <c r="AX49">
        <v>0</v>
      </c>
      <c r="AY49">
        <v>0</v>
      </c>
      <c r="AZ49">
        <v>0</v>
      </c>
      <c r="BA49">
        <v>0</v>
      </c>
      <c r="BB49">
        <v>100</v>
      </c>
      <c r="BC49">
        <v>40</v>
      </c>
      <c r="BD49">
        <v>0</v>
      </c>
      <c r="BE49">
        <v>0</v>
      </c>
      <c r="BF49">
        <v>0</v>
      </c>
      <c r="BG49">
        <v>0</v>
      </c>
      <c r="BH49" t="s">
        <v>270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100</v>
      </c>
      <c r="BO49">
        <v>0</v>
      </c>
      <c r="BP49">
        <v>0</v>
      </c>
      <c r="BQ49">
        <v>0</v>
      </c>
      <c r="BR49">
        <v>0</v>
      </c>
      <c r="BS49">
        <v>0</v>
      </c>
      <c r="BT49" t="s">
        <v>271</v>
      </c>
      <c r="BU49">
        <v>100</v>
      </c>
      <c r="BV49">
        <v>100</v>
      </c>
      <c r="BW49" t="s">
        <v>268</v>
      </c>
      <c r="BX49" t="s">
        <v>272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100</v>
      </c>
      <c r="CE49">
        <v>0</v>
      </c>
      <c r="CF49">
        <v>0</v>
      </c>
      <c r="CG49">
        <v>0</v>
      </c>
      <c r="CH49">
        <v>0</v>
      </c>
      <c r="CI49">
        <v>0</v>
      </c>
      <c r="CJ49" t="s">
        <v>273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100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100</v>
      </c>
      <c r="CW49" t="s">
        <v>274</v>
      </c>
      <c r="CX49" t="s">
        <v>268</v>
      </c>
      <c r="CY49">
        <v>0</v>
      </c>
    </row>
    <row r="50" spans="5:103" x14ac:dyDescent="0.2">
      <c r="E50">
        <v>0</v>
      </c>
      <c r="F50" t="s">
        <v>155</v>
      </c>
      <c r="G50">
        <v>0</v>
      </c>
      <c r="H50" t="s">
        <v>155</v>
      </c>
      <c r="AL50">
        <v>0</v>
      </c>
      <c r="AM50">
        <v>0.3</v>
      </c>
      <c r="AN50">
        <v>0.4</v>
      </c>
      <c r="AO50">
        <v>0.3</v>
      </c>
      <c r="AP50" t="s">
        <v>268</v>
      </c>
      <c r="AQ50">
        <v>0.3</v>
      </c>
      <c r="AR50">
        <v>0.3</v>
      </c>
      <c r="AS50">
        <v>0.2</v>
      </c>
      <c r="AT50">
        <v>0.2</v>
      </c>
      <c r="AU50" t="s">
        <v>268</v>
      </c>
      <c r="AV50" t="s">
        <v>34</v>
      </c>
      <c r="AW50" t="s">
        <v>269</v>
      </c>
      <c r="AX50">
        <v>0</v>
      </c>
      <c r="AY50">
        <v>0</v>
      </c>
      <c r="AZ50">
        <v>0</v>
      </c>
      <c r="BA50">
        <v>0</v>
      </c>
      <c r="BB50">
        <v>100</v>
      </c>
      <c r="BC50">
        <v>40</v>
      </c>
      <c r="BD50">
        <v>0</v>
      </c>
      <c r="BE50">
        <v>0</v>
      </c>
      <c r="BF50">
        <v>0</v>
      </c>
      <c r="BG50">
        <v>0</v>
      </c>
      <c r="BH50" t="s">
        <v>270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100</v>
      </c>
      <c r="BO50">
        <v>0</v>
      </c>
      <c r="BP50">
        <v>0</v>
      </c>
      <c r="BQ50">
        <v>0</v>
      </c>
      <c r="BR50">
        <v>0</v>
      </c>
      <c r="BS50">
        <v>0</v>
      </c>
      <c r="BT50" t="s">
        <v>271</v>
      </c>
      <c r="BU50">
        <v>100</v>
      </c>
      <c r="BV50">
        <v>100</v>
      </c>
      <c r="BW50" t="s">
        <v>268</v>
      </c>
      <c r="BX50" t="s">
        <v>272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100</v>
      </c>
      <c r="CE50">
        <v>0</v>
      </c>
      <c r="CF50">
        <v>0</v>
      </c>
      <c r="CG50">
        <v>0</v>
      </c>
      <c r="CH50">
        <v>0</v>
      </c>
      <c r="CI50">
        <v>0</v>
      </c>
      <c r="CJ50" t="s">
        <v>273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100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100</v>
      </c>
      <c r="CW50" t="s">
        <v>274</v>
      </c>
      <c r="CX50" t="s">
        <v>268</v>
      </c>
      <c r="CY50">
        <v>0</v>
      </c>
    </row>
    <row r="51" spans="5:103" x14ac:dyDescent="0.2">
      <c r="E51">
        <v>0</v>
      </c>
      <c r="F51" t="s">
        <v>155</v>
      </c>
      <c r="G51">
        <v>0</v>
      </c>
      <c r="H51" t="s">
        <v>155</v>
      </c>
      <c r="AL51">
        <v>0</v>
      </c>
      <c r="AM51">
        <v>0.3</v>
      </c>
      <c r="AN51">
        <v>0.4</v>
      </c>
      <c r="AO51">
        <v>0.3</v>
      </c>
      <c r="AP51" t="s">
        <v>268</v>
      </c>
      <c r="AQ51">
        <v>0.3</v>
      </c>
      <c r="AR51">
        <v>0.3</v>
      </c>
      <c r="AS51">
        <v>0.2</v>
      </c>
      <c r="AT51">
        <v>0.2</v>
      </c>
      <c r="AU51" t="s">
        <v>268</v>
      </c>
      <c r="AV51" t="s">
        <v>34</v>
      </c>
      <c r="AW51" t="s">
        <v>269</v>
      </c>
      <c r="AX51">
        <v>0</v>
      </c>
      <c r="AY51">
        <v>0</v>
      </c>
      <c r="AZ51">
        <v>0</v>
      </c>
      <c r="BA51">
        <v>0</v>
      </c>
      <c r="BB51">
        <v>100</v>
      </c>
      <c r="BC51">
        <v>40</v>
      </c>
      <c r="BD51">
        <v>0</v>
      </c>
      <c r="BE51">
        <v>0</v>
      </c>
      <c r="BF51">
        <v>0</v>
      </c>
      <c r="BG51">
        <v>0</v>
      </c>
      <c r="BH51" t="s">
        <v>270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100</v>
      </c>
      <c r="BO51">
        <v>0</v>
      </c>
      <c r="BP51">
        <v>0</v>
      </c>
      <c r="BQ51">
        <v>0</v>
      </c>
      <c r="BR51">
        <v>0</v>
      </c>
      <c r="BS51">
        <v>0</v>
      </c>
      <c r="BT51" t="s">
        <v>271</v>
      </c>
      <c r="BU51">
        <v>100</v>
      </c>
      <c r="BV51">
        <v>100</v>
      </c>
      <c r="BW51" t="s">
        <v>268</v>
      </c>
      <c r="BX51" t="s">
        <v>272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100</v>
      </c>
      <c r="CE51">
        <v>0</v>
      </c>
      <c r="CF51">
        <v>0</v>
      </c>
      <c r="CG51">
        <v>0</v>
      </c>
      <c r="CH51">
        <v>0</v>
      </c>
      <c r="CI51">
        <v>0</v>
      </c>
      <c r="CJ51" t="s">
        <v>273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100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100</v>
      </c>
      <c r="CW51" t="s">
        <v>274</v>
      </c>
      <c r="CX51" t="s">
        <v>268</v>
      </c>
      <c r="CY51">
        <v>0</v>
      </c>
    </row>
    <row r="52" spans="5:103" x14ac:dyDescent="0.2">
      <c r="E52">
        <v>0</v>
      </c>
      <c r="F52" t="s">
        <v>155</v>
      </c>
      <c r="G52">
        <v>0</v>
      </c>
      <c r="H52" t="s">
        <v>155</v>
      </c>
      <c r="AL52">
        <v>0</v>
      </c>
      <c r="AM52">
        <v>0.3</v>
      </c>
      <c r="AN52">
        <v>0.3</v>
      </c>
      <c r="AO52">
        <v>0.4</v>
      </c>
      <c r="AP52" t="s">
        <v>268</v>
      </c>
      <c r="AQ52">
        <v>0.3</v>
      </c>
      <c r="AR52">
        <v>0.3</v>
      </c>
      <c r="AS52">
        <v>0.2</v>
      </c>
      <c r="AT52">
        <v>0.2</v>
      </c>
      <c r="AU52" t="s">
        <v>268</v>
      </c>
      <c r="AV52" t="s">
        <v>34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100</v>
      </c>
      <c r="BC52">
        <v>0</v>
      </c>
      <c r="BD52">
        <v>0</v>
      </c>
      <c r="BE52">
        <v>0</v>
      </c>
      <c r="BF52">
        <v>0</v>
      </c>
      <c r="BG52">
        <v>0</v>
      </c>
      <c r="BH52" t="s">
        <v>270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100</v>
      </c>
      <c r="BO52">
        <v>0</v>
      </c>
      <c r="BP52">
        <v>0</v>
      </c>
      <c r="BQ52">
        <v>0</v>
      </c>
      <c r="BR52">
        <v>0</v>
      </c>
      <c r="BS52">
        <v>0</v>
      </c>
      <c r="BT52" t="s">
        <v>271</v>
      </c>
      <c r="BU52">
        <v>100</v>
      </c>
      <c r="BV52">
        <v>100</v>
      </c>
      <c r="BW52" t="s">
        <v>268</v>
      </c>
      <c r="BX52" t="s">
        <v>272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100</v>
      </c>
      <c r="CE52">
        <v>0</v>
      </c>
      <c r="CF52">
        <v>0</v>
      </c>
      <c r="CG52">
        <v>0</v>
      </c>
      <c r="CH52">
        <v>0</v>
      </c>
      <c r="CI52">
        <v>0</v>
      </c>
      <c r="CJ52" t="s">
        <v>273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100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100</v>
      </c>
      <c r="CW52" t="s">
        <v>274</v>
      </c>
      <c r="CX52" t="s">
        <v>268</v>
      </c>
      <c r="CY52">
        <v>0</v>
      </c>
    </row>
    <row r="53" spans="5:103" x14ac:dyDescent="0.2">
      <c r="E53">
        <v>0</v>
      </c>
      <c r="F53" t="s">
        <v>155</v>
      </c>
      <c r="G53">
        <v>0</v>
      </c>
      <c r="H53" t="s">
        <v>155</v>
      </c>
      <c r="AL53">
        <v>0</v>
      </c>
      <c r="AM53">
        <v>0.3</v>
      </c>
      <c r="AN53">
        <v>0.3</v>
      </c>
      <c r="AO53">
        <v>0.4</v>
      </c>
      <c r="AP53" t="s">
        <v>268</v>
      </c>
      <c r="AQ53">
        <v>0.3</v>
      </c>
      <c r="AR53">
        <v>0.3</v>
      </c>
      <c r="AS53">
        <v>0.2</v>
      </c>
      <c r="AT53">
        <v>0.2</v>
      </c>
      <c r="AU53" t="s">
        <v>268</v>
      </c>
      <c r="AV53" t="s">
        <v>34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100</v>
      </c>
      <c r="BC53">
        <v>0</v>
      </c>
      <c r="BD53">
        <v>0</v>
      </c>
      <c r="BE53">
        <v>0</v>
      </c>
      <c r="BF53">
        <v>0</v>
      </c>
      <c r="BG53">
        <v>0</v>
      </c>
      <c r="BH53" t="s">
        <v>270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100</v>
      </c>
      <c r="BO53">
        <v>0</v>
      </c>
      <c r="BP53">
        <v>0</v>
      </c>
      <c r="BQ53">
        <v>0</v>
      </c>
      <c r="BR53">
        <v>0</v>
      </c>
      <c r="BS53">
        <v>0</v>
      </c>
      <c r="BT53" t="s">
        <v>271</v>
      </c>
      <c r="BU53">
        <v>100</v>
      </c>
      <c r="BV53">
        <v>100</v>
      </c>
      <c r="BW53" t="s">
        <v>268</v>
      </c>
      <c r="BX53" t="s">
        <v>272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100</v>
      </c>
      <c r="CE53">
        <v>0</v>
      </c>
      <c r="CF53">
        <v>0</v>
      </c>
      <c r="CG53">
        <v>0</v>
      </c>
      <c r="CH53">
        <v>0</v>
      </c>
      <c r="CI53">
        <v>0</v>
      </c>
      <c r="CJ53" t="s">
        <v>273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100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100</v>
      </c>
      <c r="CW53" t="s">
        <v>274</v>
      </c>
      <c r="CX53" t="s">
        <v>268</v>
      </c>
      <c r="CY53">
        <v>0</v>
      </c>
    </row>
    <row r="54" spans="5:103" x14ac:dyDescent="0.2">
      <c r="E54">
        <v>0</v>
      </c>
      <c r="F54" t="s">
        <v>155</v>
      </c>
      <c r="G54">
        <v>0</v>
      </c>
      <c r="H54" t="s">
        <v>155</v>
      </c>
      <c r="AL54">
        <v>0</v>
      </c>
      <c r="AM54">
        <v>0.3</v>
      </c>
      <c r="AN54">
        <v>0.3</v>
      </c>
      <c r="AO54">
        <v>0.4</v>
      </c>
      <c r="AP54" t="s">
        <v>268</v>
      </c>
      <c r="AQ54">
        <v>0.3</v>
      </c>
      <c r="AR54">
        <v>0.3</v>
      </c>
      <c r="AS54">
        <v>0.2</v>
      </c>
      <c r="AT54">
        <v>0.2</v>
      </c>
      <c r="AU54" t="s">
        <v>268</v>
      </c>
      <c r="AV54" t="s">
        <v>34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100</v>
      </c>
      <c r="BC54">
        <v>0</v>
      </c>
      <c r="BD54">
        <v>0</v>
      </c>
      <c r="BE54">
        <v>0</v>
      </c>
      <c r="BF54">
        <v>0</v>
      </c>
      <c r="BG54">
        <v>0</v>
      </c>
      <c r="BH54" t="s">
        <v>270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100</v>
      </c>
      <c r="BO54">
        <v>0</v>
      </c>
      <c r="BP54">
        <v>0</v>
      </c>
      <c r="BQ54">
        <v>0</v>
      </c>
      <c r="BR54">
        <v>0</v>
      </c>
      <c r="BS54">
        <v>0</v>
      </c>
      <c r="BT54" t="s">
        <v>271</v>
      </c>
      <c r="BU54">
        <v>100</v>
      </c>
      <c r="BV54">
        <v>100</v>
      </c>
      <c r="BW54" t="s">
        <v>268</v>
      </c>
      <c r="BX54" t="s">
        <v>272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100</v>
      </c>
      <c r="CE54">
        <v>0</v>
      </c>
      <c r="CF54">
        <v>0</v>
      </c>
      <c r="CG54">
        <v>0</v>
      </c>
      <c r="CH54">
        <v>0</v>
      </c>
      <c r="CI54">
        <v>0</v>
      </c>
      <c r="CJ54" t="s">
        <v>273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100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100</v>
      </c>
      <c r="CW54" t="s">
        <v>274</v>
      </c>
      <c r="CX54" t="s">
        <v>268</v>
      </c>
      <c r="CY54">
        <v>0</v>
      </c>
    </row>
    <row r="55" spans="5:103" x14ac:dyDescent="0.2">
      <c r="E55">
        <v>0</v>
      </c>
      <c r="F55" t="s">
        <v>155</v>
      </c>
      <c r="G55">
        <v>0</v>
      </c>
      <c r="H55" t="s">
        <v>155</v>
      </c>
      <c r="AL55">
        <v>0</v>
      </c>
      <c r="AM55">
        <v>0.3</v>
      </c>
      <c r="AN55">
        <v>0.3</v>
      </c>
      <c r="AO55">
        <v>0.4</v>
      </c>
      <c r="AP55" t="s">
        <v>268</v>
      </c>
      <c r="AQ55">
        <v>0.3</v>
      </c>
      <c r="AR55">
        <v>0.3</v>
      </c>
      <c r="AS55">
        <v>0.2</v>
      </c>
      <c r="AT55">
        <v>0.2</v>
      </c>
      <c r="AU55" t="s">
        <v>268</v>
      </c>
      <c r="AV55" t="s">
        <v>34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100</v>
      </c>
      <c r="BC55">
        <v>0</v>
      </c>
      <c r="BD55">
        <v>0</v>
      </c>
      <c r="BE55">
        <v>0</v>
      </c>
      <c r="BF55">
        <v>0</v>
      </c>
      <c r="BG55">
        <v>0</v>
      </c>
      <c r="BH55" t="s">
        <v>270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100</v>
      </c>
      <c r="BO55">
        <v>0</v>
      </c>
      <c r="BP55">
        <v>0</v>
      </c>
      <c r="BQ55">
        <v>0</v>
      </c>
      <c r="BR55">
        <v>0</v>
      </c>
      <c r="BS55">
        <v>0</v>
      </c>
      <c r="BT55" t="s">
        <v>271</v>
      </c>
      <c r="BU55">
        <v>100</v>
      </c>
      <c r="BV55">
        <v>100</v>
      </c>
      <c r="BW55" t="s">
        <v>268</v>
      </c>
      <c r="BX55" t="s">
        <v>272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100</v>
      </c>
      <c r="CE55">
        <v>0</v>
      </c>
      <c r="CF55">
        <v>0</v>
      </c>
      <c r="CG55">
        <v>0</v>
      </c>
      <c r="CH55">
        <v>0</v>
      </c>
      <c r="CI55">
        <v>0</v>
      </c>
      <c r="CJ55" t="s">
        <v>273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100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100</v>
      </c>
      <c r="CW55" t="s">
        <v>274</v>
      </c>
      <c r="CX55" t="s">
        <v>268</v>
      </c>
      <c r="CY55">
        <v>0</v>
      </c>
    </row>
    <row r="56" spans="5:103" x14ac:dyDescent="0.2">
      <c r="E56">
        <v>0</v>
      </c>
      <c r="F56" t="s">
        <v>155</v>
      </c>
      <c r="G56">
        <v>0</v>
      </c>
      <c r="H56" t="s">
        <v>155</v>
      </c>
      <c r="AL56">
        <v>0</v>
      </c>
      <c r="AM56">
        <v>0.3</v>
      </c>
      <c r="AN56">
        <v>0.3</v>
      </c>
      <c r="AO56">
        <v>0.4</v>
      </c>
      <c r="AP56" t="s">
        <v>268</v>
      </c>
      <c r="AQ56">
        <v>0.3</v>
      </c>
      <c r="AR56">
        <v>0.3</v>
      </c>
      <c r="AS56">
        <v>0.2</v>
      </c>
      <c r="AT56">
        <v>0.2</v>
      </c>
      <c r="AU56" t="s">
        <v>268</v>
      </c>
      <c r="AV56" t="s">
        <v>34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100</v>
      </c>
      <c r="BC56">
        <v>0</v>
      </c>
      <c r="BD56">
        <v>0</v>
      </c>
      <c r="BE56">
        <v>0</v>
      </c>
      <c r="BF56">
        <v>0</v>
      </c>
      <c r="BG56">
        <v>0</v>
      </c>
      <c r="BH56" t="s">
        <v>270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100</v>
      </c>
      <c r="BO56">
        <v>0</v>
      </c>
      <c r="BP56">
        <v>0</v>
      </c>
      <c r="BQ56">
        <v>0</v>
      </c>
      <c r="BR56">
        <v>0</v>
      </c>
      <c r="BS56">
        <v>0</v>
      </c>
      <c r="BT56" t="s">
        <v>271</v>
      </c>
      <c r="BU56">
        <v>100</v>
      </c>
      <c r="BV56">
        <v>100</v>
      </c>
      <c r="BW56" t="s">
        <v>268</v>
      </c>
      <c r="BX56" t="s">
        <v>272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100</v>
      </c>
      <c r="CE56">
        <v>0</v>
      </c>
      <c r="CF56">
        <v>0</v>
      </c>
      <c r="CG56">
        <v>0</v>
      </c>
      <c r="CH56">
        <v>0</v>
      </c>
      <c r="CI56">
        <v>0</v>
      </c>
      <c r="CJ56" t="s">
        <v>273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100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100</v>
      </c>
      <c r="CW56" t="s">
        <v>274</v>
      </c>
      <c r="CX56" t="s">
        <v>268</v>
      </c>
      <c r="CY56">
        <v>0</v>
      </c>
    </row>
    <row r="57" spans="5:103" x14ac:dyDescent="0.2">
      <c r="E57">
        <v>0</v>
      </c>
      <c r="F57" t="s">
        <v>155</v>
      </c>
      <c r="G57">
        <v>0</v>
      </c>
      <c r="H57" t="s">
        <v>155</v>
      </c>
      <c r="AL57">
        <v>0</v>
      </c>
      <c r="AM57">
        <v>0.3</v>
      </c>
      <c r="AN57">
        <v>0.3</v>
      </c>
      <c r="AO57">
        <v>0.4</v>
      </c>
      <c r="AP57" t="s">
        <v>268</v>
      </c>
      <c r="AQ57">
        <v>0.3</v>
      </c>
      <c r="AR57">
        <v>0.3</v>
      </c>
      <c r="AS57">
        <v>0.2</v>
      </c>
      <c r="AT57">
        <v>0.2</v>
      </c>
      <c r="AU57" t="s">
        <v>268</v>
      </c>
      <c r="AV57" t="s">
        <v>34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100</v>
      </c>
      <c r="BC57">
        <v>0</v>
      </c>
      <c r="BD57">
        <v>0</v>
      </c>
      <c r="BE57">
        <v>0</v>
      </c>
      <c r="BF57">
        <v>0</v>
      </c>
      <c r="BG57">
        <v>0</v>
      </c>
      <c r="BH57" t="s">
        <v>270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100</v>
      </c>
      <c r="BO57">
        <v>0</v>
      </c>
      <c r="BP57">
        <v>0</v>
      </c>
      <c r="BQ57">
        <v>0</v>
      </c>
      <c r="BR57">
        <v>0</v>
      </c>
      <c r="BS57">
        <v>0</v>
      </c>
      <c r="BT57" t="s">
        <v>271</v>
      </c>
      <c r="BU57">
        <v>100</v>
      </c>
      <c r="BV57">
        <v>100</v>
      </c>
      <c r="BW57" t="s">
        <v>268</v>
      </c>
      <c r="BX57" t="s">
        <v>272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100</v>
      </c>
      <c r="CE57">
        <v>0</v>
      </c>
      <c r="CF57">
        <v>0</v>
      </c>
      <c r="CG57">
        <v>0</v>
      </c>
      <c r="CH57">
        <v>0</v>
      </c>
      <c r="CI57">
        <v>0</v>
      </c>
      <c r="CJ57" t="s">
        <v>273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100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100</v>
      </c>
      <c r="CW57" t="s">
        <v>274</v>
      </c>
      <c r="CX57" t="s">
        <v>268</v>
      </c>
      <c r="CY57">
        <v>0</v>
      </c>
    </row>
    <row r="58" spans="5:103" x14ac:dyDescent="0.2">
      <c r="E58">
        <v>0</v>
      </c>
      <c r="F58" t="s">
        <v>155</v>
      </c>
      <c r="G58">
        <v>0</v>
      </c>
      <c r="H58" t="s">
        <v>155</v>
      </c>
      <c r="AL58">
        <v>0</v>
      </c>
      <c r="AM58">
        <v>0.3</v>
      </c>
      <c r="AN58">
        <v>0.3</v>
      </c>
      <c r="AO58">
        <v>0.4</v>
      </c>
      <c r="AP58" t="s">
        <v>268</v>
      </c>
      <c r="AQ58">
        <v>0.3</v>
      </c>
      <c r="AR58">
        <v>0.3</v>
      </c>
      <c r="AS58">
        <v>0.2</v>
      </c>
      <c r="AT58">
        <v>0.2</v>
      </c>
      <c r="AU58" t="s">
        <v>268</v>
      </c>
      <c r="AV58" t="s">
        <v>34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100</v>
      </c>
      <c r="BC58">
        <v>0</v>
      </c>
      <c r="BD58">
        <v>0</v>
      </c>
      <c r="BE58">
        <v>0</v>
      </c>
      <c r="BF58">
        <v>0</v>
      </c>
      <c r="BG58">
        <v>0</v>
      </c>
      <c r="BH58" t="s">
        <v>270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100</v>
      </c>
      <c r="BO58">
        <v>0</v>
      </c>
      <c r="BP58">
        <v>0</v>
      </c>
      <c r="BQ58">
        <v>0</v>
      </c>
      <c r="BR58">
        <v>0</v>
      </c>
      <c r="BS58">
        <v>0</v>
      </c>
      <c r="BT58" t="s">
        <v>271</v>
      </c>
      <c r="BU58">
        <v>100</v>
      </c>
      <c r="BV58">
        <v>100</v>
      </c>
      <c r="BW58" t="s">
        <v>268</v>
      </c>
      <c r="BX58" t="s">
        <v>272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100</v>
      </c>
      <c r="CE58">
        <v>0</v>
      </c>
      <c r="CF58">
        <v>0</v>
      </c>
      <c r="CG58">
        <v>0</v>
      </c>
      <c r="CH58">
        <v>0</v>
      </c>
      <c r="CI58">
        <v>0</v>
      </c>
      <c r="CJ58" t="s">
        <v>273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100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100</v>
      </c>
      <c r="CW58" t="s">
        <v>274</v>
      </c>
      <c r="CX58" t="s">
        <v>268</v>
      </c>
      <c r="CY58">
        <v>0</v>
      </c>
    </row>
    <row r="59" spans="5:103" x14ac:dyDescent="0.2">
      <c r="E59">
        <v>0</v>
      </c>
      <c r="F59" t="s">
        <v>155</v>
      </c>
      <c r="G59">
        <v>0</v>
      </c>
      <c r="H59" t="s">
        <v>155</v>
      </c>
      <c r="AL59">
        <v>0</v>
      </c>
      <c r="AM59">
        <v>0.3</v>
      </c>
      <c r="AN59">
        <v>0.3</v>
      </c>
      <c r="AO59">
        <v>0.4</v>
      </c>
      <c r="AP59" t="s">
        <v>268</v>
      </c>
      <c r="AQ59">
        <v>0.3</v>
      </c>
      <c r="AR59">
        <v>0.3</v>
      </c>
      <c r="AS59">
        <v>0.2</v>
      </c>
      <c r="AT59">
        <v>0.2</v>
      </c>
      <c r="AU59" t="s">
        <v>268</v>
      </c>
      <c r="AV59" t="s">
        <v>34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100</v>
      </c>
      <c r="BC59">
        <v>0</v>
      </c>
      <c r="BD59">
        <v>0</v>
      </c>
      <c r="BE59">
        <v>0</v>
      </c>
      <c r="BF59">
        <v>0</v>
      </c>
      <c r="BG59">
        <v>0</v>
      </c>
      <c r="BH59" t="s">
        <v>270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100</v>
      </c>
      <c r="BO59">
        <v>0</v>
      </c>
      <c r="BP59">
        <v>0</v>
      </c>
      <c r="BQ59">
        <v>0</v>
      </c>
      <c r="BR59">
        <v>0</v>
      </c>
      <c r="BS59">
        <v>0</v>
      </c>
      <c r="BT59" t="s">
        <v>271</v>
      </c>
      <c r="BU59">
        <v>100</v>
      </c>
      <c r="BV59">
        <v>100</v>
      </c>
      <c r="BW59" t="s">
        <v>268</v>
      </c>
      <c r="BX59" t="s">
        <v>272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100</v>
      </c>
      <c r="CE59">
        <v>0</v>
      </c>
      <c r="CF59">
        <v>0</v>
      </c>
      <c r="CG59">
        <v>0</v>
      </c>
      <c r="CH59">
        <v>0</v>
      </c>
      <c r="CI59">
        <v>0</v>
      </c>
      <c r="CJ59" t="s">
        <v>273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100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100</v>
      </c>
      <c r="CW59" t="s">
        <v>274</v>
      </c>
      <c r="CX59" t="s">
        <v>268</v>
      </c>
      <c r="CY59">
        <v>0</v>
      </c>
    </row>
    <row r="60" spans="5:103" x14ac:dyDescent="0.2">
      <c r="E60">
        <v>0</v>
      </c>
      <c r="F60" t="s">
        <v>155</v>
      </c>
      <c r="G60">
        <v>0</v>
      </c>
      <c r="H60" t="s">
        <v>155</v>
      </c>
      <c r="AL60">
        <v>0</v>
      </c>
      <c r="AM60">
        <v>0.3</v>
      </c>
      <c r="AN60">
        <v>0.3</v>
      </c>
      <c r="AO60">
        <v>0.4</v>
      </c>
      <c r="AP60" t="s">
        <v>268</v>
      </c>
      <c r="AQ60">
        <v>0.3</v>
      </c>
      <c r="AR60">
        <v>0.3</v>
      </c>
      <c r="AS60">
        <v>0.2</v>
      </c>
      <c r="AT60">
        <v>0.2</v>
      </c>
      <c r="AU60" t="s">
        <v>268</v>
      </c>
      <c r="AV60" t="s">
        <v>34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100</v>
      </c>
      <c r="BC60">
        <v>0</v>
      </c>
      <c r="BD60">
        <v>0</v>
      </c>
      <c r="BE60">
        <v>0</v>
      </c>
      <c r="BF60">
        <v>0</v>
      </c>
      <c r="BG60">
        <v>0</v>
      </c>
      <c r="BH60" t="s">
        <v>270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100</v>
      </c>
      <c r="BO60">
        <v>0</v>
      </c>
      <c r="BP60">
        <v>0</v>
      </c>
      <c r="BQ60">
        <v>0</v>
      </c>
      <c r="BR60">
        <v>0</v>
      </c>
      <c r="BS60">
        <v>0</v>
      </c>
      <c r="BT60" t="s">
        <v>271</v>
      </c>
      <c r="BU60">
        <v>100</v>
      </c>
      <c r="BV60">
        <v>100</v>
      </c>
      <c r="BW60" t="s">
        <v>268</v>
      </c>
      <c r="BX60" t="s">
        <v>272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100</v>
      </c>
      <c r="CE60">
        <v>0</v>
      </c>
      <c r="CF60">
        <v>0</v>
      </c>
      <c r="CG60">
        <v>0</v>
      </c>
      <c r="CH60">
        <v>0</v>
      </c>
      <c r="CI60">
        <v>0</v>
      </c>
      <c r="CJ60" t="s">
        <v>273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100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100</v>
      </c>
      <c r="CW60" t="s">
        <v>274</v>
      </c>
      <c r="CX60" t="s">
        <v>268</v>
      </c>
      <c r="CY60">
        <v>0</v>
      </c>
    </row>
    <row r="61" spans="5:103" x14ac:dyDescent="0.2">
      <c r="E61">
        <v>0</v>
      </c>
      <c r="F61" t="s">
        <v>155</v>
      </c>
      <c r="G61">
        <v>0</v>
      </c>
      <c r="H61" t="s">
        <v>155</v>
      </c>
      <c r="AL61">
        <v>0</v>
      </c>
      <c r="AM61">
        <v>0.3</v>
      </c>
      <c r="AN61">
        <v>0.3</v>
      </c>
      <c r="AO61">
        <v>0.4</v>
      </c>
      <c r="AP61" t="s">
        <v>268</v>
      </c>
      <c r="AQ61">
        <v>0.3</v>
      </c>
      <c r="AR61">
        <v>0.3</v>
      </c>
      <c r="AS61">
        <v>0.2</v>
      </c>
      <c r="AT61">
        <v>0.2</v>
      </c>
      <c r="AU61" t="s">
        <v>268</v>
      </c>
      <c r="AV61" t="s">
        <v>34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100</v>
      </c>
      <c r="BC61">
        <v>0</v>
      </c>
      <c r="BD61">
        <v>0</v>
      </c>
      <c r="BE61">
        <v>0</v>
      </c>
      <c r="BF61">
        <v>0</v>
      </c>
      <c r="BG61">
        <v>0</v>
      </c>
      <c r="BH61" t="s">
        <v>270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100</v>
      </c>
      <c r="BO61">
        <v>0</v>
      </c>
      <c r="BP61">
        <v>0</v>
      </c>
      <c r="BQ61">
        <v>0</v>
      </c>
      <c r="BR61">
        <v>0</v>
      </c>
      <c r="BS61">
        <v>0</v>
      </c>
      <c r="BT61" t="s">
        <v>271</v>
      </c>
      <c r="BU61">
        <v>100</v>
      </c>
      <c r="BV61">
        <v>100</v>
      </c>
      <c r="BW61" t="s">
        <v>268</v>
      </c>
      <c r="BX61" t="s">
        <v>272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100</v>
      </c>
      <c r="CE61">
        <v>0</v>
      </c>
      <c r="CF61">
        <v>0</v>
      </c>
      <c r="CG61">
        <v>0</v>
      </c>
      <c r="CH61">
        <v>0</v>
      </c>
      <c r="CI61">
        <v>0</v>
      </c>
      <c r="CJ61" t="s">
        <v>273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100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100</v>
      </c>
      <c r="CW61" t="s">
        <v>274</v>
      </c>
      <c r="CX61" t="s">
        <v>268</v>
      </c>
      <c r="CY61">
        <v>0</v>
      </c>
    </row>
    <row r="62" spans="5:103" x14ac:dyDescent="0.2">
      <c r="E62">
        <v>0</v>
      </c>
      <c r="F62" t="s">
        <v>155</v>
      </c>
      <c r="G62">
        <v>0</v>
      </c>
      <c r="H62" t="s">
        <v>155</v>
      </c>
      <c r="AL62">
        <v>0</v>
      </c>
      <c r="AM62">
        <v>0.3</v>
      </c>
      <c r="AN62">
        <v>0.3</v>
      </c>
      <c r="AO62">
        <v>0.4</v>
      </c>
      <c r="AP62" t="s">
        <v>268</v>
      </c>
      <c r="AQ62">
        <v>0.3</v>
      </c>
      <c r="AR62">
        <v>0.3</v>
      </c>
      <c r="AS62">
        <v>0.2</v>
      </c>
      <c r="AT62">
        <v>0.2</v>
      </c>
      <c r="AU62" t="s">
        <v>268</v>
      </c>
      <c r="AV62" t="s">
        <v>34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100</v>
      </c>
      <c r="BC62">
        <v>0</v>
      </c>
      <c r="BD62">
        <v>0</v>
      </c>
      <c r="BE62">
        <v>0</v>
      </c>
      <c r="BF62">
        <v>0</v>
      </c>
      <c r="BG62">
        <v>0</v>
      </c>
      <c r="BH62" t="s">
        <v>270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100</v>
      </c>
      <c r="BO62">
        <v>0</v>
      </c>
      <c r="BP62">
        <v>0</v>
      </c>
      <c r="BQ62">
        <v>0</v>
      </c>
      <c r="BR62">
        <v>0</v>
      </c>
      <c r="BS62">
        <v>0</v>
      </c>
      <c r="BT62" t="s">
        <v>271</v>
      </c>
      <c r="BU62">
        <v>100</v>
      </c>
      <c r="BV62">
        <v>100</v>
      </c>
      <c r="BW62" t="s">
        <v>268</v>
      </c>
      <c r="BX62" t="s">
        <v>272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100</v>
      </c>
      <c r="CE62">
        <v>0</v>
      </c>
      <c r="CF62">
        <v>0</v>
      </c>
      <c r="CG62">
        <v>0</v>
      </c>
      <c r="CH62">
        <v>0</v>
      </c>
      <c r="CI62">
        <v>0</v>
      </c>
      <c r="CJ62" t="s">
        <v>273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100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100</v>
      </c>
      <c r="CW62" t="s">
        <v>274</v>
      </c>
      <c r="CX62" t="s">
        <v>268</v>
      </c>
      <c r="CY62">
        <v>0</v>
      </c>
    </row>
    <row r="63" spans="5:103" x14ac:dyDescent="0.2">
      <c r="E63">
        <v>0</v>
      </c>
      <c r="F63" t="s">
        <v>155</v>
      </c>
      <c r="G63">
        <v>0</v>
      </c>
      <c r="H63" t="s">
        <v>155</v>
      </c>
      <c r="AL63">
        <v>0</v>
      </c>
      <c r="AM63">
        <v>0.3</v>
      </c>
      <c r="AN63">
        <v>0.3</v>
      </c>
      <c r="AO63">
        <v>0.4</v>
      </c>
      <c r="AP63" t="s">
        <v>268</v>
      </c>
      <c r="AQ63">
        <v>0.3</v>
      </c>
      <c r="AR63">
        <v>0.3</v>
      </c>
      <c r="AS63">
        <v>0.2</v>
      </c>
      <c r="AT63">
        <v>0.2</v>
      </c>
      <c r="AU63" t="s">
        <v>268</v>
      </c>
      <c r="AV63" t="s">
        <v>34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100</v>
      </c>
      <c r="BC63">
        <v>0</v>
      </c>
      <c r="BD63">
        <v>0</v>
      </c>
      <c r="BE63">
        <v>0</v>
      </c>
      <c r="BF63">
        <v>0</v>
      </c>
      <c r="BG63">
        <v>0</v>
      </c>
      <c r="BH63" t="s">
        <v>270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100</v>
      </c>
      <c r="BO63">
        <v>0</v>
      </c>
      <c r="BP63">
        <v>0</v>
      </c>
      <c r="BQ63">
        <v>0</v>
      </c>
      <c r="BR63">
        <v>0</v>
      </c>
      <c r="BS63">
        <v>0</v>
      </c>
      <c r="BT63" t="s">
        <v>271</v>
      </c>
      <c r="BU63">
        <v>100</v>
      </c>
      <c r="BV63">
        <v>100</v>
      </c>
      <c r="BW63" t="s">
        <v>268</v>
      </c>
      <c r="BX63" t="s">
        <v>272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100</v>
      </c>
      <c r="CE63">
        <v>0</v>
      </c>
      <c r="CF63">
        <v>0</v>
      </c>
      <c r="CG63">
        <v>0</v>
      </c>
      <c r="CH63">
        <v>0</v>
      </c>
      <c r="CI63">
        <v>0</v>
      </c>
      <c r="CJ63" t="s">
        <v>273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100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100</v>
      </c>
      <c r="CW63" t="s">
        <v>274</v>
      </c>
      <c r="CX63" t="s">
        <v>268</v>
      </c>
      <c r="CY63">
        <v>0</v>
      </c>
    </row>
    <row r="64" spans="5:103" x14ac:dyDescent="0.2">
      <c r="E64">
        <v>0</v>
      </c>
      <c r="F64" t="s">
        <v>155</v>
      </c>
      <c r="G64">
        <v>0</v>
      </c>
      <c r="H64" t="s">
        <v>155</v>
      </c>
      <c r="AL64">
        <v>0</v>
      </c>
      <c r="AM64">
        <v>0.3</v>
      </c>
      <c r="AN64">
        <v>0.3</v>
      </c>
      <c r="AO64">
        <v>0.4</v>
      </c>
      <c r="AP64" t="s">
        <v>268</v>
      </c>
      <c r="AQ64">
        <v>0.3</v>
      </c>
      <c r="AR64">
        <v>0.3</v>
      </c>
      <c r="AS64">
        <v>0.2</v>
      </c>
      <c r="AT64">
        <v>0.2</v>
      </c>
      <c r="AU64" t="s">
        <v>268</v>
      </c>
      <c r="AV64" t="s">
        <v>34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100</v>
      </c>
      <c r="BC64">
        <v>0</v>
      </c>
      <c r="BD64">
        <v>0</v>
      </c>
      <c r="BE64">
        <v>0</v>
      </c>
      <c r="BF64">
        <v>0</v>
      </c>
      <c r="BG64">
        <v>0</v>
      </c>
      <c r="BH64" t="s">
        <v>270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100</v>
      </c>
      <c r="BO64">
        <v>0</v>
      </c>
      <c r="BP64">
        <v>0</v>
      </c>
      <c r="BQ64">
        <v>0</v>
      </c>
      <c r="BR64">
        <v>0</v>
      </c>
      <c r="BS64">
        <v>0</v>
      </c>
      <c r="BT64" t="s">
        <v>271</v>
      </c>
      <c r="BU64">
        <v>100</v>
      </c>
      <c r="BV64">
        <v>100</v>
      </c>
      <c r="BW64" t="s">
        <v>268</v>
      </c>
      <c r="BX64" t="s">
        <v>272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100</v>
      </c>
      <c r="CE64">
        <v>0</v>
      </c>
      <c r="CF64">
        <v>0</v>
      </c>
      <c r="CG64">
        <v>0</v>
      </c>
      <c r="CH64">
        <v>0</v>
      </c>
      <c r="CI64">
        <v>0</v>
      </c>
      <c r="CJ64" t="s">
        <v>273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100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100</v>
      </c>
      <c r="CW64" t="s">
        <v>274</v>
      </c>
      <c r="CX64" t="s">
        <v>268</v>
      </c>
      <c r="CY64">
        <v>0</v>
      </c>
    </row>
    <row r="65" spans="5:103" x14ac:dyDescent="0.2">
      <c r="E65">
        <v>0</v>
      </c>
      <c r="F65" t="s">
        <v>155</v>
      </c>
      <c r="G65">
        <v>0</v>
      </c>
      <c r="H65" t="s">
        <v>155</v>
      </c>
      <c r="AL65">
        <v>0</v>
      </c>
      <c r="AM65">
        <v>0.3</v>
      </c>
      <c r="AN65">
        <v>0.3</v>
      </c>
      <c r="AO65">
        <v>0.4</v>
      </c>
      <c r="AP65" t="s">
        <v>268</v>
      </c>
      <c r="AQ65">
        <v>0.3</v>
      </c>
      <c r="AR65">
        <v>0.3</v>
      </c>
      <c r="AS65">
        <v>0.2</v>
      </c>
      <c r="AT65">
        <v>0.2</v>
      </c>
      <c r="AU65" t="s">
        <v>268</v>
      </c>
      <c r="AV65" t="s">
        <v>34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100</v>
      </c>
      <c r="BC65">
        <v>0</v>
      </c>
      <c r="BD65">
        <v>0</v>
      </c>
      <c r="BE65">
        <v>0</v>
      </c>
      <c r="BF65">
        <v>0</v>
      </c>
      <c r="BG65">
        <v>0</v>
      </c>
      <c r="BH65" t="s">
        <v>270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100</v>
      </c>
      <c r="BO65">
        <v>0</v>
      </c>
      <c r="BP65">
        <v>0</v>
      </c>
      <c r="BQ65">
        <v>0</v>
      </c>
      <c r="BR65">
        <v>0</v>
      </c>
      <c r="BS65">
        <v>0</v>
      </c>
      <c r="BT65" t="s">
        <v>271</v>
      </c>
      <c r="BU65">
        <v>100</v>
      </c>
      <c r="BV65">
        <v>100</v>
      </c>
      <c r="BW65" t="s">
        <v>268</v>
      </c>
      <c r="BX65" t="s">
        <v>272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100</v>
      </c>
      <c r="CE65">
        <v>0</v>
      </c>
      <c r="CF65">
        <v>0</v>
      </c>
      <c r="CG65">
        <v>0</v>
      </c>
      <c r="CH65">
        <v>0</v>
      </c>
      <c r="CI65">
        <v>0</v>
      </c>
      <c r="CJ65" t="s">
        <v>273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100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100</v>
      </c>
      <c r="CW65" t="s">
        <v>274</v>
      </c>
      <c r="CX65" t="s">
        <v>268</v>
      </c>
      <c r="CY65">
        <v>0</v>
      </c>
    </row>
    <row r="66" spans="5:103" x14ac:dyDescent="0.2">
      <c r="E66">
        <v>0</v>
      </c>
      <c r="F66" t="s">
        <v>155</v>
      </c>
      <c r="G66">
        <v>0</v>
      </c>
      <c r="H66" t="s">
        <v>155</v>
      </c>
      <c r="AL66">
        <v>0</v>
      </c>
      <c r="AM66">
        <v>0.3</v>
      </c>
      <c r="AN66">
        <v>0.3</v>
      </c>
      <c r="AO66">
        <v>0.4</v>
      </c>
      <c r="AP66" t="s">
        <v>268</v>
      </c>
      <c r="AQ66">
        <v>0.3</v>
      </c>
      <c r="AR66">
        <v>0.3</v>
      </c>
      <c r="AS66">
        <v>0.2</v>
      </c>
      <c r="AT66">
        <v>0.2</v>
      </c>
      <c r="AU66" t="s">
        <v>268</v>
      </c>
      <c r="AV66" t="s">
        <v>34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100</v>
      </c>
      <c r="BC66">
        <v>0</v>
      </c>
      <c r="BD66">
        <v>0</v>
      </c>
      <c r="BE66">
        <v>0</v>
      </c>
      <c r="BF66">
        <v>0</v>
      </c>
      <c r="BG66">
        <v>0</v>
      </c>
      <c r="BH66" t="s">
        <v>270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100</v>
      </c>
      <c r="BO66">
        <v>0</v>
      </c>
      <c r="BP66">
        <v>0</v>
      </c>
      <c r="BQ66">
        <v>0</v>
      </c>
      <c r="BR66">
        <v>0</v>
      </c>
      <c r="BS66">
        <v>0</v>
      </c>
      <c r="BT66" t="s">
        <v>271</v>
      </c>
      <c r="BU66">
        <v>100</v>
      </c>
      <c r="BV66">
        <v>100</v>
      </c>
      <c r="BW66" t="s">
        <v>268</v>
      </c>
      <c r="BX66" t="s">
        <v>272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100</v>
      </c>
      <c r="CE66">
        <v>0</v>
      </c>
      <c r="CF66">
        <v>0</v>
      </c>
      <c r="CG66">
        <v>0</v>
      </c>
      <c r="CH66">
        <v>0</v>
      </c>
      <c r="CI66">
        <v>0</v>
      </c>
      <c r="CJ66" t="s">
        <v>273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100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100</v>
      </c>
      <c r="CW66" t="s">
        <v>274</v>
      </c>
      <c r="CX66" t="s">
        <v>268</v>
      </c>
      <c r="CY66">
        <v>0</v>
      </c>
    </row>
    <row r="67" spans="5:103" x14ac:dyDescent="0.2">
      <c r="E67">
        <v>0</v>
      </c>
      <c r="F67" t="s">
        <v>155</v>
      </c>
      <c r="G67">
        <v>0</v>
      </c>
      <c r="H67" t="s">
        <v>155</v>
      </c>
      <c r="AL67">
        <v>0</v>
      </c>
      <c r="AM67">
        <v>0.3</v>
      </c>
      <c r="AN67">
        <v>0.3</v>
      </c>
      <c r="AO67">
        <v>0.4</v>
      </c>
      <c r="AP67" t="s">
        <v>268</v>
      </c>
      <c r="AQ67">
        <v>0.3</v>
      </c>
      <c r="AR67">
        <v>0.3</v>
      </c>
      <c r="AS67">
        <v>0.2</v>
      </c>
      <c r="AT67">
        <v>0.2</v>
      </c>
      <c r="AU67" t="s">
        <v>268</v>
      </c>
      <c r="AV67" t="s">
        <v>34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100</v>
      </c>
      <c r="BC67">
        <v>0</v>
      </c>
      <c r="BD67">
        <v>0</v>
      </c>
      <c r="BE67">
        <v>0</v>
      </c>
      <c r="BF67">
        <v>0</v>
      </c>
      <c r="BG67">
        <v>0</v>
      </c>
      <c r="BH67" t="s">
        <v>270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100</v>
      </c>
      <c r="BO67">
        <v>0</v>
      </c>
      <c r="BP67">
        <v>0</v>
      </c>
      <c r="BQ67">
        <v>0</v>
      </c>
      <c r="BR67">
        <v>0</v>
      </c>
      <c r="BS67">
        <v>0</v>
      </c>
      <c r="BT67" t="s">
        <v>271</v>
      </c>
      <c r="BU67">
        <v>100</v>
      </c>
      <c r="BV67">
        <v>100</v>
      </c>
      <c r="BW67" t="s">
        <v>268</v>
      </c>
      <c r="BX67" t="s">
        <v>272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100</v>
      </c>
      <c r="CE67">
        <v>0</v>
      </c>
      <c r="CF67">
        <v>0</v>
      </c>
      <c r="CG67">
        <v>0</v>
      </c>
      <c r="CH67">
        <v>0</v>
      </c>
      <c r="CI67">
        <v>0</v>
      </c>
      <c r="CJ67" t="s">
        <v>273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100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100</v>
      </c>
      <c r="CW67" t="s">
        <v>274</v>
      </c>
      <c r="CX67" t="s">
        <v>268</v>
      </c>
      <c r="CY67">
        <v>0</v>
      </c>
    </row>
    <row r="68" spans="5:103" x14ac:dyDescent="0.2">
      <c r="E68">
        <v>0</v>
      </c>
      <c r="F68" t="s">
        <v>155</v>
      </c>
      <c r="G68">
        <v>0</v>
      </c>
      <c r="H68" t="s">
        <v>155</v>
      </c>
      <c r="AL68">
        <v>0</v>
      </c>
      <c r="AM68">
        <v>0.3</v>
      </c>
      <c r="AN68">
        <v>0.3</v>
      </c>
      <c r="AO68">
        <v>0.4</v>
      </c>
      <c r="AP68" t="s">
        <v>268</v>
      </c>
      <c r="AQ68">
        <v>0.3</v>
      </c>
      <c r="AR68">
        <v>0.3</v>
      </c>
      <c r="AS68">
        <v>0.2</v>
      </c>
      <c r="AT68">
        <v>0.2</v>
      </c>
      <c r="AU68" t="s">
        <v>268</v>
      </c>
      <c r="AV68" t="s">
        <v>34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100</v>
      </c>
      <c r="BC68">
        <v>0</v>
      </c>
      <c r="BD68">
        <v>0</v>
      </c>
      <c r="BE68">
        <v>0</v>
      </c>
      <c r="BF68">
        <v>0</v>
      </c>
      <c r="BG68">
        <v>0</v>
      </c>
      <c r="BH68" t="s">
        <v>270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100</v>
      </c>
      <c r="BO68">
        <v>0</v>
      </c>
      <c r="BP68">
        <v>0</v>
      </c>
      <c r="BQ68">
        <v>0</v>
      </c>
      <c r="BR68">
        <v>0</v>
      </c>
      <c r="BS68">
        <v>0</v>
      </c>
      <c r="BT68" t="s">
        <v>271</v>
      </c>
      <c r="BU68">
        <v>100</v>
      </c>
      <c r="BV68">
        <v>100</v>
      </c>
      <c r="BW68" t="s">
        <v>268</v>
      </c>
      <c r="BX68" t="s">
        <v>272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100</v>
      </c>
      <c r="CE68">
        <v>0</v>
      </c>
      <c r="CF68">
        <v>0</v>
      </c>
      <c r="CG68">
        <v>0</v>
      </c>
      <c r="CH68">
        <v>0</v>
      </c>
      <c r="CI68">
        <v>0</v>
      </c>
      <c r="CJ68" t="s">
        <v>273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100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100</v>
      </c>
      <c r="CW68" t="s">
        <v>274</v>
      </c>
      <c r="CX68" t="s">
        <v>268</v>
      </c>
      <c r="CY68">
        <v>0</v>
      </c>
    </row>
    <row r="69" spans="5:103" x14ac:dyDescent="0.2">
      <c r="E69">
        <v>0</v>
      </c>
      <c r="F69" t="s">
        <v>155</v>
      </c>
      <c r="G69">
        <v>0</v>
      </c>
      <c r="H69" t="s">
        <v>155</v>
      </c>
      <c r="AL69">
        <v>0</v>
      </c>
      <c r="AM69">
        <v>0.3</v>
      </c>
      <c r="AN69">
        <v>0.3</v>
      </c>
      <c r="AO69">
        <v>0.4</v>
      </c>
      <c r="AP69" t="s">
        <v>268</v>
      </c>
      <c r="AQ69">
        <v>0.3</v>
      </c>
      <c r="AR69">
        <v>0.3</v>
      </c>
      <c r="AS69">
        <v>0.2</v>
      </c>
      <c r="AT69">
        <v>0.2</v>
      </c>
      <c r="AU69" t="s">
        <v>268</v>
      </c>
      <c r="AV69" t="s">
        <v>34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100</v>
      </c>
      <c r="BC69">
        <v>0</v>
      </c>
      <c r="BD69">
        <v>0</v>
      </c>
      <c r="BE69">
        <v>0</v>
      </c>
      <c r="BF69">
        <v>0</v>
      </c>
      <c r="BG69">
        <v>0</v>
      </c>
      <c r="BH69" t="s">
        <v>270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100</v>
      </c>
      <c r="BO69">
        <v>0</v>
      </c>
      <c r="BP69">
        <v>0</v>
      </c>
      <c r="BQ69">
        <v>0</v>
      </c>
      <c r="BR69">
        <v>0</v>
      </c>
      <c r="BS69">
        <v>0</v>
      </c>
      <c r="BT69" t="s">
        <v>271</v>
      </c>
      <c r="BU69">
        <v>100</v>
      </c>
      <c r="BV69">
        <v>100</v>
      </c>
      <c r="BW69" t="s">
        <v>268</v>
      </c>
      <c r="BX69" t="s">
        <v>272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100</v>
      </c>
      <c r="CE69">
        <v>0</v>
      </c>
      <c r="CF69">
        <v>0</v>
      </c>
      <c r="CG69">
        <v>0</v>
      </c>
      <c r="CH69">
        <v>0</v>
      </c>
      <c r="CI69">
        <v>0</v>
      </c>
      <c r="CJ69" t="s">
        <v>273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100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100</v>
      </c>
      <c r="CW69" t="s">
        <v>274</v>
      </c>
      <c r="CX69" t="s">
        <v>268</v>
      </c>
      <c r="CY69">
        <v>0</v>
      </c>
    </row>
    <row r="70" spans="5:103" x14ac:dyDescent="0.2">
      <c r="E70">
        <v>0</v>
      </c>
      <c r="F70" t="s">
        <v>155</v>
      </c>
      <c r="G70">
        <v>0</v>
      </c>
      <c r="H70" t="s">
        <v>155</v>
      </c>
      <c r="AL70">
        <v>0</v>
      </c>
      <c r="AM70">
        <v>0.3</v>
      </c>
      <c r="AN70">
        <v>0.3</v>
      </c>
      <c r="AO70">
        <v>0.4</v>
      </c>
      <c r="AP70" t="s">
        <v>268</v>
      </c>
      <c r="AQ70">
        <v>0.3</v>
      </c>
      <c r="AR70">
        <v>0.3</v>
      </c>
      <c r="AS70">
        <v>0.2</v>
      </c>
      <c r="AT70">
        <v>0.2</v>
      </c>
      <c r="AU70" t="s">
        <v>268</v>
      </c>
      <c r="AV70" t="s">
        <v>34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100</v>
      </c>
      <c r="BC70">
        <v>0</v>
      </c>
      <c r="BD70">
        <v>0</v>
      </c>
      <c r="BE70">
        <v>0</v>
      </c>
      <c r="BF70">
        <v>0</v>
      </c>
      <c r="BG70">
        <v>0</v>
      </c>
      <c r="BH70" t="s">
        <v>270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100</v>
      </c>
      <c r="BO70">
        <v>0</v>
      </c>
      <c r="BP70">
        <v>0</v>
      </c>
      <c r="BQ70">
        <v>0</v>
      </c>
      <c r="BR70">
        <v>0</v>
      </c>
      <c r="BS70">
        <v>0</v>
      </c>
      <c r="BT70" t="s">
        <v>271</v>
      </c>
      <c r="BU70">
        <v>100</v>
      </c>
      <c r="BV70">
        <v>100</v>
      </c>
      <c r="BW70" t="s">
        <v>268</v>
      </c>
      <c r="BX70" t="s">
        <v>272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100</v>
      </c>
      <c r="CE70">
        <v>0</v>
      </c>
      <c r="CF70">
        <v>0</v>
      </c>
      <c r="CG70">
        <v>0</v>
      </c>
      <c r="CH70">
        <v>0</v>
      </c>
      <c r="CI70">
        <v>0</v>
      </c>
      <c r="CJ70" t="s">
        <v>273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100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100</v>
      </c>
      <c r="CW70" t="s">
        <v>274</v>
      </c>
      <c r="CX70" t="s">
        <v>268</v>
      </c>
      <c r="CY70">
        <v>0</v>
      </c>
    </row>
    <row r="71" spans="5:103" x14ac:dyDescent="0.2">
      <c r="E71">
        <v>0</v>
      </c>
      <c r="F71" t="s">
        <v>155</v>
      </c>
      <c r="G71">
        <v>0</v>
      </c>
      <c r="H71" t="s">
        <v>155</v>
      </c>
      <c r="AL71">
        <v>0</v>
      </c>
      <c r="AM71">
        <v>0.3</v>
      </c>
      <c r="AN71">
        <v>0.3</v>
      </c>
      <c r="AO71">
        <v>0.4</v>
      </c>
      <c r="AP71" t="s">
        <v>268</v>
      </c>
      <c r="AQ71">
        <v>0.3</v>
      </c>
      <c r="AR71">
        <v>0.3</v>
      </c>
      <c r="AS71">
        <v>0.2</v>
      </c>
      <c r="AT71">
        <v>0.2</v>
      </c>
      <c r="AU71" t="s">
        <v>268</v>
      </c>
      <c r="AV71" t="s">
        <v>34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100</v>
      </c>
      <c r="BC71">
        <v>0</v>
      </c>
      <c r="BD71">
        <v>0</v>
      </c>
      <c r="BE71">
        <v>0</v>
      </c>
      <c r="BF71">
        <v>0</v>
      </c>
      <c r="BG71">
        <v>0</v>
      </c>
      <c r="BH71" t="s">
        <v>270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100</v>
      </c>
      <c r="BO71">
        <v>0</v>
      </c>
      <c r="BP71">
        <v>0</v>
      </c>
      <c r="BQ71">
        <v>0</v>
      </c>
      <c r="BR71">
        <v>0</v>
      </c>
      <c r="BS71">
        <v>0</v>
      </c>
      <c r="BT71" t="s">
        <v>271</v>
      </c>
      <c r="BU71">
        <v>100</v>
      </c>
      <c r="BV71">
        <v>100</v>
      </c>
      <c r="BW71" t="s">
        <v>268</v>
      </c>
      <c r="BX71" t="s">
        <v>272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100</v>
      </c>
      <c r="CE71">
        <v>0</v>
      </c>
      <c r="CF71">
        <v>0</v>
      </c>
      <c r="CG71">
        <v>0</v>
      </c>
      <c r="CH71">
        <v>0</v>
      </c>
      <c r="CI71">
        <v>0</v>
      </c>
      <c r="CJ71" t="s">
        <v>273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100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100</v>
      </c>
      <c r="CW71" t="s">
        <v>274</v>
      </c>
      <c r="CX71" t="s">
        <v>268</v>
      </c>
      <c r="CY71">
        <v>0</v>
      </c>
    </row>
    <row r="72" spans="5:103" x14ac:dyDescent="0.2">
      <c r="E72">
        <v>0</v>
      </c>
      <c r="F72" t="s">
        <v>155</v>
      </c>
      <c r="G72">
        <v>0</v>
      </c>
      <c r="H72" t="s">
        <v>155</v>
      </c>
      <c r="AL72">
        <v>0</v>
      </c>
      <c r="AM72">
        <v>0.3</v>
      </c>
      <c r="AN72">
        <v>0.3</v>
      </c>
      <c r="AO72">
        <v>0.4</v>
      </c>
      <c r="AP72" t="s">
        <v>268</v>
      </c>
      <c r="AQ72">
        <v>0.3</v>
      </c>
      <c r="AR72">
        <v>0.3</v>
      </c>
      <c r="AS72">
        <v>0.2</v>
      </c>
      <c r="AT72">
        <v>0.2</v>
      </c>
      <c r="AU72" t="s">
        <v>268</v>
      </c>
      <c r="AV72" t="s">
        <v>34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100</v>
      </c>
      <c r="BC72">
        <v>0</v>
      </c>
      <c r="BD72">
        <v>0</v>
      </c>
      <c r="BE72">
        <v>0</v>
      </c>
      <c r="BF72">
        <v>0</v>
      </c>
      <c r="BG72">
        <v>0</v>
      </c>
      <c r="BH72" t="s">
        <v>270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100</v>
      </c>
      <c r="BO72">
        <v>0</v>
      </c>
      <c r="BP72">
        <v>0</v>
      </c>
      <c r="BQ72">
        <v>0</v>
      </c>
      <c r="BR72">
        <v>0</v>
      </c>
      <c r="BS72">
        <v>0</v>
      </c>
      <c r="BT72" t="s">
        <v>271</v>
      </c>
      <c r="BU72">
        <v>100</v>
      </c>
      <c r="BV72">
        <v>100</v>
      </c>
      <c r="BW72" t="s">
        <v>268</v>
      </c>
      <c r="BX72" t="s">
        <v>272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100</v>
      </c>
      <c r="CE72">
        <v>0</v>
      </c>
      <c r="CF72">
        <v>0</v>
      </c>
      <c r="CG72">
        <v>0</v>
      </c>
      <c r="CH72">
        <v>0</v>
      </c>
      <c r="CI72">
        <v>0</v>
      </c>
      <c r="CJ72" t="s">
        <v>273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100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100</v>
      </c>
      <c r="CW72" t="s">
        <v>274</v>
      </c>
      <c r="CX72" t="s">
        <v>268</v>
      </c>
      <c r="CY72">
        <v>0</v>
      </c>
    </row>
    <row r="73" spans="5:103" x14ac:dyDescent="0.2">
      <c r="E73">
        <v>0</v>
      </c>
      <c r="F73" t="s">
        <v>155</v>
      </c>
      <c r="G73">
        <v>0</v>
      </c>
      <c r="H73" t="s">
        <v>155</v>
      </c>
      <c r="AL73">
        <v>0</v>
      </c>
      <c r="AM73">
        <v>0.3</v>
      </c>
      <c r="AN73">
        <v>0.3</v>
      </c>
      <c r="AO73">
        <v>0.4</v>
      </c>
      <c r="AP73" t="s">
        <v>268</v>
      </c>
      <c r="AQ73">
        <v>0.3</v>
      </c>
      <c r="AR73">
        <v>0.3</v>
      </c>
      <c r="AS73">
        <v>0.2</v>
      </c>
      <c r="AT73">
        <v>0.2</v>
      </c>
      <c r="AU73" t="s">
        <v>268</v>
      </c>
      <c r="AV73" t="s">
        <v>34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100</v>
      </c>
      <c r="BC73">
        <v>0</v>
      </c>
      <c r="BD73">
        <v>0</v>
      </c>
      <c r="BE73">
        <v>0</v>
      </c>
      <c r="BF73">
        <v>0</v>
      </c>
      <c r="BG73">
        <v>0</v>
      </c>
      <c r="BH73" t="s">
        <v>270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100</v>
      </c>
      <c r="BO73">
        <v>0</v>
      </c>
      <c r="BP73">
        <v>0</v>
      </c>
      <c r="BQ73">
        <v>0</v>
      </c>
      <c r="BR73">
        <v>0</v>
      </c>
      <c r="BS73">
        <v>0</v>
      </c>
      <c r="BT73" t="s">
        <v>271</v>
      </c>
      <c r="BU73">
        <v>100</v>
      </c>
      <c r="BV73">
        <v>100</v>
      </c>
      <c r="BW73" t="s">
        <v>268</v>
      </c>
      <c r="BX73" t="s">
        <v>272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100</v>
      </c>
      <c r="CE73">
        <v>0</v>
      </c>
      <c r="CF73">
        <v>0</v>
      </c>
      <c r="CG73">
        <v>0</v>
      </c>
      <c r="CH73">
        <v>0</v>
      </c>
      <c r="CI73">
        <v>0</v>
      </c>
      <c r="CJ73" t="s">
        <v>273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100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100</v>
      </c>
      <c r="CW73" t="s">
        <v>274</v>
      </c>
      <c r="CX73" t="s">
        <v>268</v>
      </c>
      <c r="CY73">
        <v>0</v>
      </c>
    </row>
    <row r="74" spans="5:103" x14ac:dyDescent="0.2">
      <c r="E74">
        <v>0</v>
      </c>
      <c r="F74" t="s">
        <v>155</v>
      </c>
      <c r="G74">
        <v>0</v>
      </c>
      <c r="H74" t="s">
        <v>155</v>
      </c>
      <c r="AL74">
        <v>0</v>
      </c>
      <c r="AM74">
        <v>0.3</v>
      </c>
      <c r="AN74">
        <v>0.3</v>
      </c>
      <c r="AO74">
        <v>0.4</v>
      </c>
      <c r="AP74" t="s">
        <v>268</v>
      </c>
      <c r="AQ74">
        <v>0.3</v>
      </c>
      <c r="AR74">
        <v>0.3</v>
      </c>
      <c r="AS74">
        <v>0.2</v>
      </c>
      <c r="AT74">
        <v>0.2</v>
      </c>
      <c r="AU74" t="s">
        <v>268</v>
      </c>
      <c r="AV74" t="s">
        <v>34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100</v>
      </c>
      <c r="BC74">
        <v>0</v>
      </c>
      <c r="BD74">
        <v>0</v>
      </c>
      <c r="BE74">
        <v>0</v>
      </c>
      <c r="BF74">
        <v>0</v>
      </c>
      <c r="BG74">
        <v>0</v>
      </c>
      <c r="BH74" t="s">
        <v>270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100</v>
      </c>
      <c r="BO74">
        <v>0</v>
      </c>
      <c r="BP74">
        <v>0</v>
      </c>
      <c r="BQ74">
        <v>0</v>
      </c>
      <c r="BR74">
        <v>0</v>
      </c>
      <c r="BS74">
        <v>0</v>
      </c>
      <c r="BT74" t="s">
        <v>271</v>
      </c>
      <c r="BU74">
        <v>100</v>
      </c>
      <c r="BV74">
        <v>100</v>
      </c>
      <c r="BW74" t="s">
        <v>268</v>
      </c>
      <c r="BX74" t="s">
        <v>272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100</v>
      </c>
      <c r="CE74">
        <v>0</v>
      </c>
      <c r="CF74">
        <v>0</v>
      </c>
      <c r="CG74">
        <v>0</v>
      </c>
      <c r="CH74">
        <v>0</v>
      </c>
      <c r="CI74">
        <v>0</v>
      </c>
      <c r="CJ74" t="s">
        <v>273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100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100</v>
      </c>
      <c r="CW74" t="s">
        <v>274</v>
      </c>
      <c r="CX74" t="s">
        <v>268</v>
      </c>
      <c r="CY74">
        <v>0</v>
      </c>
    </row>
    <row r="75" spans="5:103" x14ac:dyDescent="0.2">
      <c r="E75">
        <v>0</v>
      </c>
      <c r="F75" t="s">
        <v>155</v>
      </c>
      <c r="G75">
        <v>0</v>
      </c>
      <c r="H75" t="s">
        <v>155</v>
      </c>
      <c r="AL75">
        <v>0</v>
      </c>
      <c r="AM75">
        <v>0.3</v>
      </c>
      <c r="AN75">
        <v>0.3</v>
      </c>
      <c r="AO75">
        <v>0.4</v>
      </c>
      <c r="AP75" t="s">
        <v>268</v>
      </c>
      <c r="AQ75">
        <v>0.3</v>
      </c>
      <c r="AR75">
        <v>0.3</v>
      </c>
      <c r="AS75">
        <v>0.2</v>
      </c>
      <c r="AT75">
        <v>0.2</v>
      </c>
      <c r="AU75" t="s">
        <v>268</v>
      </c>
      <c r="AV75" t="s">
        <v>34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100</v>
      </c>
      <c r="BC75">
        <v>0</v>
      </c>
      <c r="BD75">
        <v>0</v>
      </c>
      <c r="BE75">
        <v>0</v>
      </c>
      <c r="BF75">
        <v>0</v>
      </c>
      <c r="BG75">
        <v>0</v>
      </c>
      <c r="BH75" t="s">
        <v>270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100</v>
      </c>
      <c r="BO75">
        <v>0</v>
      </c>
      <c r="BP75">
        <v>0</v>
      </c>
      <c r="BQ75">
        <v>0</v>
      </c>
      <c r="BR75">
        <v>0</v>
      </c>
      <c r="BS75">
        <v>0</v>
      </c>
      <c r="BT75" t="s">
        <v>271</v>
      </c>
      <c r="BU75">
        <v>100</v>
      </c>
      <c r="BV75">
        <v>100</v>
      </c>
      <c r="BW75" t="s">
        <v>268</v>
      </c>
      <c r="BX75" t="s">
        <v>272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100</v>
      </c>
      <c r="CE75">
        <v>0</v>
      </c>
      <c r="CF75">
        <v>0</v>
      </c>
      <c r="CG75">
        <v>0</v>
      </c>
      <c r="CH75">
        <v>0</v>
      </c>
      <c r="CI75">
        <v>0</v>
      </c>
      <c r="CJ75" t="s">
        <v>273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100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100</v>
      </c>
      <c r="CW75" t="s">
        <v>274</v>
      </c>
      <c r="CX75" t="s">
        <v>268</v>
      </c>
      <c r="CY75">
        <v>0</v>
      </c>
    </row>
    <row r="76" spans="5:103" x14ac:dyDescent="0.2">
      <c r="E76">
        <v>0</v>
      </c>
      <c r="F76" t="s">
        <v>155</v>
      </c>
      <c r="G76">
        <v>0</v>
      </c>
      <c r="H76" t="s">
        <v>155</v>
      </c>
      <c r="AL76">
        <v>0</v>
      </c>
      <c r="AM76">
        <v>0.3</v>
      </c>
      <c r="AN76">
        <v>0.3</v>
      </c>
      <c r="AO76">
        <v>0.4</v>
      </c>
      <c r="AP76" t="s">
        <v>268</v>
      </c>
      <c r="AQ76">
        <v>0.3</v>
      </c>
      <c r="AR76">
        <v>0.3</v>
      </c>
      <c r="AS76">
        <v>0.2</v>
      </c>
      <c r="AT76">
        <v>0.2</v>
      </c>
      <c r="AU76" t="s">
        <v>268</v>
      </c>
      <c r="AV76" t="s">
        <v>34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100</v>
      </c>
      <c r="BC76">
        <v>0</v>
      </c>
      <c r="BD76">
        <v>0</v>
      </c>
      <c r="BE76">
        <v>0</v>
      </c>
      <c r="BF76">
        <v>0</v>
      </c>
      <c r="BG76">
        <v>0</v>
      </c>
      <c r="BH76" t="s">
        <v>270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100</v>
      </c>
      <c r="BO76">
        <v>0</v>
      </c>
      <c r="BP76">
        <v>0</v>
      </c>
      <c r="BQ76">
        <v>0</v>
      </c>
      <c r="BR76">
        <v>0</v>
      </c>
      <c r="BS76">
        <v>0</v>
      </c>
      <c r="BT76" t="s">
        <v>271</v>
      </c>
      <c r="BU76">
        <v>100</v>
      </c>
      <c r="BV76">
        <v>100</v>
      </c>
      <c r="BW76" t="s">
        <v>268</v>
      </c>
      <c r="BX76" t="s">
        <v>272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100</v>
      </c>
      <c r="CE76">
        <v>0</v>
      </c>
      <c r="CF76">
        <v>0</v>
      </c>
      <c r="CG76">
        <v>0</v>
      </c>
      <c r="CH76">
        <v>0</v>
      </c>
      <c r="CI76">
        <v>0</v>
      </c>
      <c r="CJ76" t="s">
        <v>273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100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100</v>
      </c>
      <c r="CW76" t="s">
        <v>274</v>
      </c>
      <c r="CX76" t="s">
        <v>268</v>
      </c>
      <c r="CY76">
        <v>0</v>
      </c>
    </row>
    <row r="77" spans="5:103" x14ac:dyDescent="0.2">
      <c r="E77">
        <v>0</v>
      </c>
      <c r="F77" t="s">
        <v>155</v>
      </c>
      <c r="G77">
        <v>0</v>
      </c>
      <c r="H77" t="s">
        <v>155</v>
      </c>
      <c r="AL77">
        <v>0</v>
      </c>
      <c r="AM77">
        <v>0.3</v>
      </c>
      <c r="AN77">
        <v>0.3</v>
      </c>
      <c r="AO77">
        <v>0.4</v>
      </c>
      <c r="AP77" t="s">
        <v>268</v>
      </c>
      <c r="AQ77">
        <v>0.3</v>
      </c>
      <c r="AR77">
        <v>0.3</v>
      </c>
      <c r="AS77">
        <v>0.2</v>
      </c>
      <c r="AT77">
        <v>0.2</v>
      </c>
      <c r="AU77" t="s">
        <v>268</v>
      </c>
      <c r="AV77" t="s">
        <v>34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100</v>
      </c>
      <c r="BC77">
        <v>0</v>
      </c>
      <c r="BD77">
        <v>0</v>
      </c>
      <c r="BE77">
        <v>0</v>
      </c>
      <c r="BF77">
        <v>0</v>
      </c>
      <c r="BG77">
        <v>0</v>
      </c>
      <c r="BH77" t="s">
        <v>270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100</v>
      </c>
      <c r="BO77">
        <v>0</v>
      </c>
      <c r="BP77">
        <v>0</v>
      </c>
      <c r="BQ77">
        <v>0</v>
      </c>
      <c r="BR77">
        <v>0</v>
      </c>
      <c r="BS77">
        <v>0</v>
      </c>
      <c r="BT77" t="s">
        <v>271</v>
      </c>
      <c r="BU77">
        <v>100</v>
      </c>
      <c r="BV77">
        <v>100</v>
      </c>
      <c r="BW77" t="s">
        <v>268</v>
      </c>
      <c r="BX77" t="s">
        <v>272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100</v>
      </c>
      <c r="CE77">
        <v>0</v>
      </c>
      <c r="CF77">
        <v>0</v>
      </c>
      <c r="CG77">
        <v>0</v>
      </c>
      <c r="CH77">
        <v>0</v>
      </c>
      <c r="CI77">
        <v>0</v>
      </c>
      <c r="CJ77" t="s">
        <v>273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100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100</v>
      </c>
      <c r="CW77" t="s">
        <v>274</v>
      </c>
      <c r="CX77" t="s">
        <v>268</v>
      </c>
      <c r="CY77">
        <v>0</v>
      </c>
    </row>
    <row r="78" spans="5:103" x14ac:dyDescent="0.2">
      <c r="E78">
        <v>0</v>
      </c>
      <c r="F78" t="s">
        <v>155</v>
      </c>
      <c r="G78">
        <v>0</v>
      </c>
      <c r="H78" t="s">
        <v>155</v>
      </c>
      <c r="AL78">
        <v>0</v>
      </c>
      <c r="AM78">
        <v>0.3</v>
      </c>
      <c r="AN78">
        <v>0.3</v>
      </c>
      <c r="AO78">
        <v>0.4</v>
      </c>
      <c r="AP78" t="s">
        <v>268</v>
      </c>
      <c r="AQ78">
        <v>0.3</v>
      </c>
      <c r="AR78">
        <v>0.3</v>
      </c>
      <c r="AS78">
        <v>0.2</v>
      </c>
      <c r="AT78">
        <v>0.2</v>
      </c>
      <c r="AU78" t="s">
        <v>268</v>
      </c>
      <c r="AV78" t="s">
        <v>34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100</v>
      </c>
      <c r="BC78">
        <v>0</v>
      </c>
      <c r="BD78">
        <v>0</v>
      </c>
      <c r="BE78">
        <v>0</v>
      </c>
      <c r="BF78">
        <v>0</v>
      </c>
      <c r="BG78">
        <v>0</v>
      </c>
      <c r="BH78" t="s">
        <v>270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100</v>
      </c>
      <c r="BO78">
        <v>0</v>
      </c>
      <c r="BP78">
        <v>0</v>
      </c>
      <c r="BQ78">
        <v>0</v>
      </c>
      <c r="BR78">
        <v>0</v>
      </c>
      <c r="BS78">
        <v>0</v>
      </c>
      <c r="BT78" t="s">
        <v>271</v>
      </c>
      <c r="BU78">
        <v>100</v>
      </c>
      <c r="BV78">
        <v>100</v>
      </c>
      <c r="BW78" t="s">
        <v>268</v>
      </c>
      <c r="BX78" t="s">
        <v>272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100</v>
      </c>
      <c r="CE78">
        <v>0</v>
      </c>
      <c r="CF78">
        <v>0</v>
      </c>
      <c r="CG78">
        <v>0</v>
      </c>
      <c r="CH78">
        <v>0</v>
      </c>
      <c r="CI78">
        <v>0</v>
      </c>
      <c r="CJ78" t="s">
        <v>273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100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100</v>
      </c>
      <c r="CW78" t="s">
        <v>274</v>
      </c>
      <c r="CX78" t="s">
        <v>268</v>
      </c>
      <c r="CY78">
        <v>0</v>
      </c>
    </row>
    <row r="79" spans="5:103" x14ac:dyDescent="0.2">
      <c r="E79">
        <v>0</v>
      </c>
      <c r="F79" t="s">
        <v>155</v>
      </c>
      <c r="G79">
        <v>0</v>
      </c>
      <c r="H79" t="s">
        <v>155</v>
      </c>
      <c r="AL79">
        <v>0</v>
      </c>
      <c r="AM79">
        <v>0.3</v>
      </c>
      <c r="AN79">
        <v>0.3</v>
      </c>
      <c r="AO79">
        <v>0.4</v>
      </c>
      <c r="AP79" t="s">
        <v>268</v>
      </c>
      <c r="AQ79">
        <v>0.3</v>
      </c>
      <c r="AR79">
        <v>0.3</v>
      </c>
      <c r="AS79">
        <v>0.2</v>
      </c>
      <c r="AT79">
        <v>0.2</v>
      </c>
      <c r="AU79" t="s">
        <v>268</v>
      </c>
      <c r="AV79" t="s">
        <v>34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100</v>
      </c>
      <c r="BC79">
        <v>0</v>
      </c>
      <c r="BD79">
        <v>0</v>
      </c>
      <c r="BE79">
        <v>0</v>
      </c>
      <c r="BF79">
        <v>0</v>
      </c>
      <c r="BG79">
        <v>0</v>
      </c>
      <c r="BH79" t="s">
        <v>270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100</v>
      </c>
      <c r="BO79">
        <v>0</v>
      </c>
      <c r="BP79">
        <v>0</v>
      </c>
      <c r="BQ79">
        <v>0</v>
      </c>
      <c r="BR79">
        <v>0</v>
      </c>
      <c r="BS79">
        <v>0</v>
      </c>
      <c r="BT79" t="s">
        <v>271</v>
      </c>
      <c r="BU79">
        <v>100</v>
      </c>
      <c r="BV79">
        <v>100</v>
      </c>
      <c r="BW79" t="s">
        <v>268</v>
      </c>
      <c r="BX79" t="s">
        <v>272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100</v>
      </c>
      <c r="CE79">
        <v>0</v>
      </c>
      <c r="CF79">
        <v>0</v>
      </c>
      <c r="CG79">
        <v>0</v>
      </c>
      <c r="CH79">
        <v>0</v>
      </c>
      <c r="CI79">
        <v>0</v>
      </c>
      <c r="CJ79" t="s">
        <v>273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100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100</v>
      </c>
      <c r="CW79" t="s">
        <v>274</v>
      </c>
      <c r="CX79" t="s">
        <v>268</v>
      </c>
      <c r="CY79">
        <v>0</v>
      </c>
    </row>
    <row r="80" spans="5:103" x14ac:dyDescent="0.2">
      <c r="E80">
        <v>0</v>
      </c>
      <c r="F80" t="s">
        <v>155</v>
      </c>
      <c r="G80">
        <v>0</v>
      </c>
      <c r="H80" t="s">
        <v>155</v>
      </c>
      <c r="AL80">
        <v>0</v>
      </c>
      <c r="AM80">
        <v>0.3</v>
      </c>
      <c r="AN80">
        <v>0.3</v>
      </c>
      <c r="AO80">
        <v>0.4</v>
      </c>
      <c r="AP80" t="s">
        <v>268</v>
      </c>
      <c r="AQ80">
        <v>0.3</v>
      </c>
      <c r="AR80">
        <v>0.3</v>
      </c>
      <c r="AS80">
        <v>0.2</v>
      </c>
      <c r="AT80">
        <v>0.2</v>
      </c>
      <c r="AU80" t="s">
        <v>268</v>
      </c>
      <c r="AV80" t="s">
        <v>34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100</v>
      </c>
      <c r="BC80">
        <v>0</v>
      </c>
      <c r="BD80">
        <v>0</v>
      </c>
      <c r="BE80">
        <v>0</v>
      </c>
      <c r="BF80">
        <v>0</v>
      </c>
      <c r="BG80">
        <v>0</v>
      </c>
      <c r="BH80" t="s">
        <v>270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100</v>
      </c>
      <c r="BO80">
        <v>0</v>
      </c>
      <c r="BP80">
        <v>0</v>
      </c>
      <c r="BQ80">
        <v>0</v>
      </c>
      <c r="BR80">
        <v>0</v>
      </c>
      <c r="BS80">
        <v>0</v>
      </c>
      <c r="BT80" t="s">
        <v>271</v>
      </c>
      <c r="BU80">
        <v>100</v>
      </c>
      <c r="BV80">
        <v>100</v>
      </c>
      <c r="BW80" t="s">
        <v>268</v>
      </c>
      <c r="BX80" t="s">
        <v>272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100</v>
      </c>
      <c r="CE80">
        <v>0</v>
      </c>
      <c r="CF80">
        <v>0</v>
      </c>
      <c r="CG80">
        <v>0</v>
      </c>
      <c r="CH80">
        <v>0</v>
      </c>
      <c r="CI80">
        <v>0</v>
      </c>
      <c r="CJ80" t="s">
        <v>273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100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100</v>
      </c>
      <c r="CW80" t="s">
        <v>274</v>
      </c>
      <c r="CX80" t="s">
        <v>268</v>
      </c>
      <c r="CY80">
        <v>0</v>
      </c>
    </row>
    <row r="81" spans="5:103" x14ac:dyDescent="0.2">
      <c r="E81">
        <v>0</v>
      </c>
      <c r="F81" t="s">
        <v>155</v>
      </c>
      <c r="G81">
        <v>0</v>
      </c>
      <c r="H81" t="s">
        <v>155</v>
      </c>
      <c r="AL81">
        <v>0</v>
      </c>
      <c r="AM81">
        <v>0.3</v>
      </c>
      <c r="AN81">
        <v>0.3</v>
      </c>
      <c r="AO81">
        <v>0.4</v>
      </c>
      <c r="AP81" t="s">
        <v>268</v>
      </c>
      <c r="AQ81">
        <v>0.3</v>
      </c>
      <c r="AR81">
        <v>0.3</v>
      </c>
      <c r="AS81">
        <v>0.2</v>
      </c>
      <c r="AT81">
        <v>0.2</v>
      </c>
      <c r="AU81" t="s">
        <v>268</v>
      </c>
      <c r="AV81" t="s">
        <v>34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100</v>
      </c>
      <c r="BC81">
        <v>0</v>
      </c>
      <c r="BD81">
        <v>0</v>
      </c>
      <c r="BE81">
        <v>0</v>
      </c>
      <c r="BF81">
        <v>0</v>
      </c>
      <c r="BG81">
        <v>0</v>
      </c>
      <c r="BH81" t="s">
        <v>270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100</v>
      </c>
      <c r="BO81">
        <v>0</v>
      </c>
      <c r="BP81">
        <v>0</v>
      </c>
      <c r="BQ81">
        <v>0</v>
      </c>
      <c r="BR81">
        <v>0</v>
      </c>
      <c r="BS81">
        <v>0</v>
      </c>
      <c r="BT81" t="s">
        <v>271</v>
      </c>
      <c r="BU81">
        <v>100</v>
      </c>
      <c r="BV81">
        <v>100</v>
      </c>
      <c r="BW81" t="s">
        <v>268</v>
      </c>
      <c r="BX81" t="s">
        <v>272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100</v>
      </c>
      <c r="CE81">
        <v>0</v>
      </c>
      <c r="CF81">
        <v>0</v>
      </c>
      <c r="CG81">
        <v>0</v>
      </c>
      <c r="CH81">
        <v>0</v>
      </c>
      <c r="CI81">
        <v>0</v>
      </c>
      <c r="CJ81" t="s">
        <v>273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100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100</v>
      </c>
      <c r="CW81" t="s">
        <v>274</v>
      </c>
      <c r="CX81" t="s">
        <v>268</v>
      </c>
      <c r="CY81">
        <v>0</v>
      </c>
    </row>
    <row r="82" spans="5:103" x14ac:dyDescent="0.2">
      <c r="E82">
        <v>0</v>
      </c>
      <c r="F82" t="s">
        <v>155</v>
      </c>
      <c r="G82">
        <v>0</v>
      </c>
      <c r="H82" t="s">
        <v>155</v>
      </c>
      <c r="AL82">
        <v>0</v>
      </c>
      <c r="AM82">
        <v>0.3</v>
      </c>
      <c r="AN82">
        <v>0.3</v>
      </c>
      <c r="AO82">
        <v>0.4</v>
      </c>
      <c r="AP82" t="s">
        <v>268</v>
      </c>
      <c r="AQ82">
        <v>0.3</v>
      </c>
      <c r="AR82">
        <v>0.3</v>
      </c>
      <c r="AS82">
        <v>0.2</v>
      </c>
      <c r="AT82">
        <v>0.2</v>
      </c>
      <c r="AU82" t="s">
        <v>268</v>
      </c>
      <c r="AV82" t="s">
        <v>34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100</v>
      </c>
      <c r="BC82">
        <v>0</v>
      </c>
      <c r="BD82">
        <v>0</v>
      </c>
      <c r="BE82">
        <v>0</v>
      </c>
      <c r="BF82">
        <v>0</v>
      </c>
      <c r="BG82">
        <v>0</v>
      </c>
      <c r="BH82" t="s">
        <v>270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100</v>
      </c>
      <c r="BO82">
        <v>0</v>
      </c>
      <c r="BP82">
        <v>0</v>
      </c>
      <c r="BQ82">
        <v>0</v>
      </c>
      <c r="BR82">
        <v>0</v>
      </c>
      <c r="BS82">
        <v>0</v>
      </c>
      <c r="BT82" t="s">
        <v>271</v>
      </c>
      <c r="BU82">
        <v>100</v>
      </c>
      <c r="BV82">
        <v>100</v>
      </c>
      <c r="BW82" t="s">
        <v>268</v>
      </c>
      <c r="BX82" t="s">
        <v>272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100</v>
      </c>
      <c r="CE82">
        <v>0</v>
      </c>
      <c r="CF82">
        <v>0</v>
      </c>
      <c r="CG82">
        <v>0</v>
      </c>
      <c r="CH82">
        <v>0</v>
      </c>
      <c r="CI82">
        <v>0</v>
      </c>
      <c r="CJ82" t="s">
        <v>273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100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100</v>
      </c>
      <c r="CW82" t="s">
        <v>274</v>
      </c>
      <c r="CX82" t="s">
        <v>268</v>
      </c>
      <c r="CY82">
        <v>0</v>
      </c>
    </row>
    <row r="83" spans="5:103" x14ac:dyDescent="0.2">
      <c r="E83">
        <v>0</v>
      </c>
      <c r="F83" t="s">
        <v>155</v>
      </c>
      <c r="G83">
        <v>0</v>
      </c>
      <c r="H83" t="s">
        <v>155</v>
      </c>
      <c r="AL83">
        <v>0</v>
      </c>
      <c r="AM83">
        <v>0.3</v>
      </c>
      <c r="AN83">
        <v>0.3</v>
      </c>
      <c r="AO83">
        <v>0.4</v>
      </c>
      <c r="AP83" t="s">
        <v>268</v>
      </c>
      <c r="AQ83">
        <v>0.3</v>
      </c>
      <c r="AR83">
        <v>0.3</v>
      </c>
      <c r="AS83">
        <v>0.2</v>
      </c>
      <c r="AT83">
        <v>0.2</v>
      </c>
      <c r="AU83" t="s">
        <v>268</v>
      </c>
      <c r="AV83" t="s">
        <v>34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100</v>
      </c>
      <c r="BC83">
        <v>0</v>
      </c>
      <c r="BD83">
        <v>0</v>
      </c>
      <c r="BE83">
        <v>0</v>
      </c>
      <c r="BF83">
        <v>0</v>
      </c>
      <c r="BG83">
        <v>0</v>
      </c>
      <c r="BH83" t="s">
        <v>270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100</v>
      </c>
      <c r="BO83">
        <v>0</v>
      </c>
      <c r="BP83">
        <v>0</v>
      </c>
      <c r="BQ83">
        <v>0</v>
      </c>
      <c r="BR83">
        <v>0</v>
      </c>
      <c r="BS83">
        <v>0</v>
      </c>
      <c r="BT83" t="s">
        <v>271</v>
      </c>
      <c r="BU83">
        <v>100</v>
      </c>
      <c r="BV83">
        <v>100</v>
      </c>
      <c r="BW83" t="s">
        <v>268</v>
      </c>
      <c r="BX83" t="s">
        <v>272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100</v>
      </c>
      <c r="CE83">
        <v>0</v>
      </c>
      <c r="CF83">
        <v>0</v>
      </c>
      <c r="CG83">
        <v>0</v>
      </c>
      <c r="CH83">
        <v>0</v>
      </c>
      <c r="CI83">
        <v>0</v>
      </c>
      <c r="CJ83" t="s">
        <v>273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100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100</v>
      </c>
      <c r="CW83" t="s">
        <v>274</v>
      </c>
      <c r="CX83" t="s">
        <v>268</v>
      </c>
      <c r="CY83">
        <v>0</v>
      </c>
    </row>
    <row r="84" spans="5:103" x14ac:dyDescent="0.2">
      <c r="E84">
        <v>0</v>
      </c>
      <c r="F84" t="s">
        <v>155</v>
      </c>
      <c r="G84">
        <v>0</v>
      </c>
      <c r="H84" t="s">
        <v>155</v>
      </c>
      <c r="AL84">
        <v>0</v>
      </c>
      <c r="AM84">
        <v>0.3</v>
      </c>
      <c r="AN84">
        <v>0.3</v>
      </c>
      <c r="AO84">
        <v>0.4</v>
      </c>
      <c r="AP84" t="s">
        <v>268</v>
      </c>
      <c r="AQ84">
        <v>0.3</v>
      </c>
      <c r="AR84">
        <v>0.3</v>
      </c>
      <c r="AS84">
        <v>0.2</v>
      </c>
      <c r="AT84">
        <v>0.2</v>
      </c>
      <c r="AU84" t="s">
        <v>268</v>
      </c>
      <c r="AV84" t="s">
        <v>34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100</v>
      </c>
      <c r="BC84">
        <v>0</v>
      </c>
      <c r="BD84">
        <v>0</v>
      </c>
      <c r="BE84">
        <v>0</v>
      </c>
      <c r="BF84">
        <v>0</v>
      </c>
      <c r="BG84">
        <v>0</v>
      </c>
      <c r="BH84" t="s">
        <v>270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100</v>
      </c>
      <c r="BO84">
        <v>0</v>
      </c>
      <c r="BP84">
        <v>0</v>
      </c>
      <c r="BQ84">
        <v>0</v>
      </c>
      <c r="BR84">
        <v>0</v>
      </c>
      <c r="BS84">
        <v>0</v>
      </c>
      <c r="BT84" t="s">
        <v>271</v>
      </c>
      <c r="BU84">
        <v>100</v>
      </c>
      <c r="BV84">
        <v>100</v>
      </c>
      <c r="BW84" t="s">
        <v>268</v>
      </c>
      <c r="BX84" t="s">
        <v>272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100</v>
      </c>
      <c r="CE84">
        <v>0</v>
      </c>
      <c r="CF84">
        <v>0</v>
      </c>
      <c r="CG84">
        <v>0</v>
      </c>
      <c r="CH84">
        <v>0</v>
      </c>
      <c r="CI84">
        <v>0</v>
      </c>
      <c r="CJ84" t="s">
        <v>273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100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100</v>
      </c>
      <c r="CW84" t="s">
        <v>274</v>
      </c>
      <c r="CX84" t="s">
        <v>268</v>
      </c>
      <c r="CY84">
        <v>0</v>
      </c>
    </row>
    <row r="85" spans="5:103" x14ac:dyDescent="0.2">
      <c r="E85">
        <v>0</v>
      </c>
      <c r="F85" t="s">
        <v>155</v>
      </c>
      <c r="G85">
        <v>0</v>
      </c>
      <c r="H85" t="s">
        <v>155</v>
      </c>
      <c r="AL85">
        <v>0</v>
      </c>
      <c r="AM85">
        <v>0.3</v>
      </c>
      <c r="AN85">
        <v>0.3</v>
      </c>
      <c r="AO85">
        <v>0.4</v>
      </c>
      <c r="AP85" t="s">
        <v>268</v>
      </c>
      <c r="AQ85">
        <v>0.3</v>
      </c>
      <c r="AR85">
        <v>0.3</v>
      </c>
      <c r="AS85">
        <v>0.2</v>
      </c>
      <c r="AT85">
        <v>0.2</v>
      </c>
      <c r="AU85" t="s">
        <v>268</v>
      </c>
      <c r="AV85" t="s">
        <v>34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100</v>
      </c>
      <c r="BC85">
        <v>0</v>
      </c>
      <c r="BD85">
        <v>0</v>
      </c>
      <c r="BE85">
        <v>0</v>
      </c>
      <c r="BF85">
        <v>0</v>
      </c>
      <c r="BG85">
        <v>0</v>
      </c>
      <c r="BH85" t="s">
        <v>270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100</v>
      </c>
      <c r="BO85">
        <v>0</v>
      </c>
      <c r="BP85">
        <v>0</v>
      </c>
      <c r="BQ85">
        <v>0</v>
      </c>
      <c r="BR85">
        <v>0</v>
      </c>
      <c r="BS85">
        <v>0</v>
      </c>
      <c r="BT85" t="s">
        <v>271</v>
      </c>
      <c r="BU85">
        <v>100</v>
      </c>
      <c r="BV85">
        <v>100</v>
      </c>
      <c r="BW85" t="s">
        <v>268</v>
      </c>
      <c r="BX85" t="s">
        <v>272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100</v>
      </c>
      <c r="CE85">
        <v>0</v>
      </c>
      <c r="CF85">
        <v>0</v>
      </c>
      <c r="CG85">
        <v>0</v>
      </c>
      <c r="CH85">
        <v>0</v>
      </c>
      <c r="CI85">
        <v>0</v>
      </c>
      <c r="CJ85" t="s">
        <v>273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100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100</v>
      </c>
      <c r="CW85" t="s">
        <v>274</v>
      </c>
      <c r="CX85" t="s">
        <v>268</v>
      </c>
      <c r="CY85">
        <v>0</v>
      </c>
    </row>
    <row r="86" spans="5:103" x14ac:dyDescent="0.2">
      <c r="E86">
        <v>0</v>
      </c>
      <c r="F86" t="s">
        <v>155</v>
      </c>
      <c r="G86">
        <v>0</v>
      </c>
      <c r="H86" t="s">
        <v>155</v>
      </c>
      <c r="AL86">
        <v>0</v>
      </c>
      <c r="AM86">
        <v>0.3</v>
      </c>
      <c r="AN86">
        <v>0.3</v>
      </c>
      <c r="AO86">
        <v>0.4</v>
      </c>
      <c r="AP86" t="s">
        <v>268</v>
      </c>
      <c r="AQ86">
        <v>0.3</v>
      </c>
      <c r="AR86">
        <v>0.3</v>
      </c>
      <c r="AS86">
        <v>0.2</v>
      </c>
      <c r="AT86">
        <v>0.2</v>
      </c>
      <c r="AU86" t="s">
        <v>268</v>
      </c>
      <c r="AV86" t="s">
        <v>34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100</v>
      </c>
      <c r="BC86">
        <v>0</v>
      </c>
      <c r="BD86">
        <v>0</v>
      </c>
      <c r="BE86">
        <v>0</v>
      </c>
      <c r="BF86">
        <v>0</v>
      </c>
      <c r="BG86">
        <v>0</v>
      </c>
      <c r="BH86" t="s">
        <v>270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100</v>
      </c>
      <c r="BO86">
        <v>0</v>
      </c>
      <c r="BP86">
        <v>0</v>
      </c>
      <c r="BQ86">
        <v>0</v>
      </c>
      <c r="BR86">
        <v>0</v>
      </c>
      <c r="BS86">
        <v>0</v>
      </c>
      <c r="BT86" t="s">
        <v>271</v>
      </c>
      <c r="BU86">
        <v>100</v>
      </c>
      <c r="BV86">
        <v>100</v>
      </c>
      <c r="BW86" t="s">
        <v>268</v>
      </c>
      <c r="BX86" t="s">
        <v>272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100</v>
      </c>
      <c r="CE86">
        <v>0</v>
      </c>
      <c r="CF86">
        <v>0</v>
      </c>
      <c r="CG86">
        <v>0</v>
      </c>
      <c r="CH86">
        <v>0</v>
      </c>
      <c r="CI86">
        <v>0</v>
      </c>
      <c r="CJ86" t="s">
        <v>273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100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100</v>
      </c>
      <c r="CW86" t="s">
        <v>274</v>
      </c>
      <c r="CX86" t="s">
        <v>268</v>
      </c>
      <c r="CY86">
        <v>0</v>
      </c>
    </row>
    <row r="87" spans="5:103" x14ac:dyDescent="0.2">
      <c r="E87">
        <v>0</v>
      </c>
      <c r="F87" t="s">
        <v>155</v>
      </c>
      <c r="G87">
        <v>0</v>
      </c>
      <c r="H87" t="s">
        <v>155</v>
      </c>
      <c r="AL87">
        <v>0</v>
      </c>
      <c r="AM87">
        <v>0.3</v>
      </c>
      <c r="AN87">
        <v>0.3</v>
      </c>
      <c r="AO87">
        <v>0.4</v>
      </c>
      <c r="AP87" t="s">
        <v>268</v>
      </c>
      <c r="AQ87">
        <v>0.3</v>
      </c>
      <c r="AR87">
        <v>0.3</v>
      </c>
      <c r="AS87">
        <v>0.2</v>
      </c>
      <c r="AT87">
        <v>0.2</v>
      </c>
      <c r="AU87" t="s">
        <v>268</v>
      </c>
      <c r="AV87" t="s">
        <v>34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100</v>
      </c>
      <c r="BC87">
        <v>0</v>
      </c>
      <c r="BD87">
        <v>0</v>
      </c>
      <c r="BE87">
        <v>0</v>
      </c>
      <c r="BF87">
        <v>0</v>
      </c>
      <c r="BG87">
        <v>0</v>
      </c>
      <c r="BH87" t="s">
        <v>270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100</v>
      </c>
      <c r="BO87">
        <v>0</v>
      </c>
      <c r="BP87">
        <v>0</v>
      </c>
      <c r="BQ87">
        <v>0</v>
      </c>
      <c r="BR87">
        <v>0</v>
      </c>
      <c r="BS87">
        <v>0</v>
      </c>
      <c r="BT87" t="s">
        <v>271</v>
      </c>
      <c r="BU87">
        <v>100</v>
      </c>
      <c r="BV87">
        <v>100</v>
      </c>
      <c r="BW87" t="s">
        <v>268</v>
      </c>
      <c r="BX87" t="s">
        <v>272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100</v>
      </c>
      <c r="CE87">
        <v>0</v>
      </c>
      <c r="CF87">
        <v>0</v>
      </c>
      <c r="CG87">
        <v>0</v>
      </c>
      <c r="CH87">
        <v>0</v>
      </c>
      <c r="CI87">
        <v>0</v>
      </c>
      <c r="CJ87" t="s">
        <v>273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100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100</v>
      </c>
      <c r="CW87" t="s">
        <v>274</v>
      </c>
      <c r="CX87" t="s">
        <v>268</v>
      </c>
      <c r="CY87">
        <v>0</v>
      </c>
    </row>
    <row r="88" spans="5:103" x14ac:dyDescent="0.2">
      <c r="E88">
        <v>0</v>
      </c>
      <c r="F88" t="s">
        <v>155</v>
      </c>
      <c r="G88">
        <v>0</v>
      </c>
      <c r="H88" t="s">
        <v>155</v>
      </c>
      <c r="AL88">
        <v>0</v>
      </c>
      <c r="AM88">
        <v>0.3</v>
      </c>
      <c r="AN88">
        <v>0.3</v>
      </c>
      <c r="AO88">
        <v>0.4</v>
      </c>
      <c r="AP88" t="s">
        <v>268</v>
      </c>
      <c r="AQ88">
        <v>0.3</v>
      </c>
      <c r="AR88">
        <v>0.3</v>
      </c>
      <c r="AS88">
        <v>0.2</v>
      </c>
      <c r="AT88">
        <v>0.2</v>
      </c>
      <c r="AU88" t="s">
        <v>268</v>
      </c>
      <c r="AV88" t="s">
        <v>34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100</v>
      </c>
      <c r="BC88">
        <v>0</v>
      </c>
      <c r="BD88">
        <v>0</v>
      </c>
      <c r="BE88">
        <v>0</v>
      </c>
      <c r="BF88">
        <v>0</v>
      </c>
      <c r="BG88">
        <v>0</v>
      </c>
      <c r="BH88" t="s">
        <v>270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100</v>
      </c>
      <c r="BO88">
        <v>0</v>
      </c>
      <c r="BP88">
        <v>0</v>
      </c>
      <c r="BQ88">
        <v>0</v>
      </c>
      <c r="BR88">
        <v>0</v>
      </c>
      <c r="BS88">
        <v>0</v>
      </c>
      <c r="BT88" t="s">
        <v>271</v>
      </c>
      <c r="BU88">
        <v>100</v>
      </c>
      <c r="BV88">
        <v>100</v>
      </c>
      <c r="BW88" t="s">
        <v>268</v>
      </c>
      <c r="BX88" t="s">
        <v>272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100</v>
      </c>
      <c r="CE88">
        <v>0</v>
      </c>
      <c r="CF88">
        <v>0</v>
      </c>
      <c r="CG88">
        <v>0</v>
      </c>
      <c r="CH88">
        <v>0</v>
      </c>
      <c r="CI88">
        <v>0</v>
      </c>
      <c r="CJ88" t="s">
        <v>273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100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100</v>
      </c>
      <c r="CW88" t="s">
        <v>274</v>
      </c>
      <c r="CX88" t="s">
        <v>268</v>
      </c>
      <c r="CY88">
        <v>0</v>
      </c>
    </row>
    <row r="89" spans="5:103" x14ac:dyDescent="0.2">
      <c r="E89">
        <v>0</v>
      </c>
      <c r="F89" t="s">
        <v>155</v>
      </c>
      <c r="G89">
        <v>0</v>
      </c>
      <c r="H89" t="s">
        <v>155</v>
      </c>
      <c r="AL89">
        <v>0</v>
      </c>
      <c r="AM89">
        <v>0.3</v>
      </c>
      <c r="AN89">
        <v>0.3</v>
      </c>
      <c r="AO89">
        <v>0.4</v>
      </c>
      <c r="AP89" t="s">
        <v>268</v>
      </c>
      <c r="AQ89">
        <v>0.3</v>
      </c>
      <c r="AR89">
        <v>0.3</v>
      </c>
      <c r="AS89">
        <v>0.2</v>
      </c>
      <c r="AT89">
        <v>0.2</v>
      </c>
      <c r="AU89" t="s">
        <v>268</v>
      </c>
      <c r="AV89" t="s">
        <v>34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100</v>
      </c>
      <c r="BC89">
        <v>0</v>
      </c>
      <c r="BD89">
        <v>0</v>
      </c>
      <c r="BE89">
        <v>0</v>
      </c>
      <c r="BF89">
        <v>0</v>
      </c>
      <c r="BG89">
        <v>0</v>
      </c>
      <c r="BH89" t="s">
        <v>270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100</v>
      </c>
      <c r="BO89">
        <v>0</v>
      </c>
      <c r="BP89">
        <v>0</v>
      </c>
      <c r="BQ89">
        <v>0</v>
      </c>
      <c r="BR89">
        <v>0</v>
      </c>
      <c r="BS89">
        <v>0</v>
      </c>
      <c r="BT89" t="s">
        <v>271</v>
      </c>
      <c r="BU89">
        <v>100</v>
      </c>
      <c r="BV89">
        <v>100</v>
      </c>
      <c r="BW89" t="s">
        <v>268</v>
      </c>
      <c r="BX89" t="s">
        <v>272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100</v>
      </c>
      <c r="CE89">
        <v>0</v>
      </c>
      <c r="CF89">
        <v>0</v>
      </c>
      <c r="CG89">
        <v>0</v>
      </c>
      <c r="CH89">
        <v>0</v>
      </c>
      <c r="CI89">
        <v>0</v>
      </c>
      <c r="CJ89" t="s">
        <v>273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100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100</v>
      </c>
      <c r="CW89" t="s">
        <v>274</v>
      </c>
      <c r="CX89" t="s">
        <v>268</v>
      </c>
      <c r="CY89">
        <v>0</v>
      </c>
    </row>
    <row r="90" spans="5:103" x14ac:dyDescent="0.2">
      <c r="E90">
        <v>0</v>
      </c>
      <c r="F90" t="s">
        <v>155</v>
      </c>
      <c r="G90">
        <v>0</v>
      </c>
      <c r="H90" t="s">
        <v>155</v>
      </c>
      <c r="AL90">
        <v>0</v>
      </c>
      <c r="AM90">
        <v>0.3</v>
      </c>
      <c r="AN90">
        <v>0.3</v>
      </c>
      <c r="AO90">
        <v>0.4</v>
      </c>
      <c r="AP90" t="s">
        <v>268</v>
      </c>
      <c r="AQ90">
        <v>0.3</v>
      </c>
      <c r="AR90">
        <v>0.3</v>
      </c>
      <c r="AS90">
        <v>0.2</v>
      </c>
      <c r="AT90">
        <v>0.2</v>
      </c>
      <c r="AU90" t="s">
        <v>268</v>
      </c>
      <c r="AV90" t="s">
        <v>34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100</v>
      </c>
      <c r="BC90">
        <v>0</v>
      </c>
      <c r="BD90">
        <v>0</v>
      </c>
      <c r="BE90">
        <v>0</v>
      </c>
      <c r="BF90">
        <v>0</v>
      </c>
      <c r="BG90">
        <v>0</v>
      </c>
      <c r="BH90" t="s">
        <v>270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100</v>
      </c>
      <c r="BO90">
        <v>0</v>
      </c>
      <c r="BP90">
        <v>0</v>
      </c>
      <c r="BQ90">
        <v>0</v>
      </c>
      <c r="BR90">
        <v>0</v>
      </c>
      <c r="BS90">
        <v>0</v>
      </c>
      <c r="BT90" t="s">
        <v>271</v>
      </c>
      <c r="BU90">
        <v>100</v>
      </c>
      <c r="BV90">
        <v>100</v>
      </c>
      <c r="BW90" t="s">
        <v>268</v>
      </c>
      <c r="BX90" t="s">
        <v>272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100</v>
      </c>
      <c r="CE90">
        <v>0</v>
      </c>
      <c r="CF90">
        <v>0</v>
      </c>
      <c r="CG90">
        <v>0</v>
      </c>
      <c r="CH90">
        <v>0</v>
      </c>
      <c r="CI90">
        <v>0</v>
      </c>
      <c r="CJ90" t="s">
        <v>273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100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100</v>
      </c>
      <c r="CW90" t="s">
        <v>274</v>
      </c>
      <c r="CX90" t="s">
        <v>268</v>
      </c>
      <c r="CY90">
        <v>0</v>
      </c>
    </row>
    <row r="91" spans="5:103" x14ac:dyDescent="0.2">
      <c r="E91">
        <v>0</v>
      </c>
      <c r="F91" t="s">
        <v>155</v>
      </c>
      <c r="G91">
        <v>0</v>
      </c>
      <c r="H91" t="s">
        <v>155</v>
      </c>
      <c r="AL91">
        <v>0</v>
      </c>
      <c r="AM91">
        <v>0.3</v>
      </c>
      <c r="AN91">
        <v>0.3</v>
      </c>
      <c r="AO91">
        <v>0.4</v>
      </c>
      <c r="AP91" t="s">
        <v>268</v>
      </c>
      <c r="AQ91">
        <v>0.3</v>
      </c>
      <c r="AR91">
        <v>0.3</v>
      </c>
      <c r="AS91">
        <v>0.2</v>
      </c>
      <c r="AT91">
        <v>0.2</v>
      </c>
      <c r="AU91" t="s">
        <v>268</v>
      </c>
      <c r="AV91" t="s">
        <v>34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100</v>
      </c>
      <c r="BC91">
        <v>0</v>
      </c>
      <c r="BD91">
        <v>0</v>
      </c>
      <c r="BE91">
        <v>0</v>
      </c>
      <c r="BF91">
        <v>0</v>
      </c>
      <c r="BG91">
        <v>0</v>
      </c>
      <c r="BH91" t="s">
        <v>270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100</v>
      </c>
      <c r="BO91">
        <v>0</v>
      </c>
      <c r="BP91">
        <v>0</v>
      </c>
      <c r="BQ91">
        <v>0</v>
      </c>
      <c r="BR91">
        <v>0</v>
      </c>
      <c r="BS91">
        <v>0</v>
      </c>
      <c r="BT91" t="s">
        <v>271</v>
      </c>
      <c r="BU91">
        <v>100</v>
      </c>
      <c r="BV91">
        <v>100</v>
      </c>
      <c r="BW91" t="s">
        <v>268</v>
      </c>
      <c r="BX91" t="s">
        <v>272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100</v>
      </c>
      <c r="CE91">
        <v>0</v>
      </c>
      <c r="CF91">
        <v>0</v>
      </c>
      <c r="CG91">
        <v>0</v>
      </c>
      <c r="CH91">
        <v>0</v>
      </c>
      <c r="CI91">
        <v>0</v>
      </c>
      <c r="CJ91" t="s">
        <v>273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100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100</v>
      </c>
      <c r="CW91" t="s">
        <v>274</v>
      </c>
      <c r="CX91" t="s">
        <v>268</v>
      </c>
      <c r="CY91">
        <v>0</v>
      </c>
    </row>
    <row r="92" spans="5:103" x14ac:dyDescent="0.2">
      <c r="E92">
        <v>0</v>
      </c>
      <c r="F92" t="s">
        <v>155</v>
      </c>
      <c r="G92">
        <v>0</v>
      </c>
      <c r="H92" t="s">
        <v>155</v>
      </c>
      <c r="AL92">
        <v>0</v>
      </c>
      <c r="AM92">
        <v>0.3</v>
      </c>
      <c r="AN92">
        <v>0.3</v>
      </c>
      <c r="AO92">
        <v>0.4</v>
      </c>
      <c r="AP92" t="s">
        <v>268</v>
      </c>
      <c r="AQ92">
        <v>0.3</v>
      </c>
      <c r="AR92">
        <v>0.3</v>
      </c>
      <c r="AS92">
        <v>0.2</v>
      </c>
      <c r="AT92">
        <v>0.2</v>
      </c>
      <c r="AU92" t="s">
        <v>268</v>
      </c>
      <c r="AV92" t="s">
        <v>34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100</v>
      </c>
      <c r="BC92">
        <v>0</v>
      </c>
      <c r="BD92">
        <v>0</v>
      </c>
      <c r="BE92">
        <v>0</v>
      </c>
      <c r="BF92">
        <v>0</v>
      </c>
      <c r="BG92">
        <v>0</v>
      </c>
      <c r="BH92" t="s">
        <v>270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100</v>
      </c>
      <c r="BO92">
        <v>0</v>
      </c>
      <c r="BP92">
        <v>0</v>
      </c>
      <c r="BQ92">
        <v>0</v>
      </c>
      <c r="BR92">
        <v>0</v>
      </c>
      <c r="BS92">
        <v>0</v>
      </c>
      <c r="BT92" t="s">
        <v>271</v>
      </c>
      <c r="BU92">
        <v>100</v>
      </c>
      <c r="BV92">
        <v>100</v>
      </c>
      <c r="BW92" t="s">
        <v>268</v>
      </c>
      <c r="BX92" t="s">
        <v>272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100</v>
      </c>
      <c r="CE92">
        <v>0</v>
      </c>
      <c r="CF92">
        <v>0</v>
      </c>
      <c r="CG92">
        <v>0</v>
      </c>
      <c r="CH92">
        <v>0</v>
      </c>
      <c r="CI92">
        <v>0</v>
      </c>
      <c r="CJ92" t="s">
        <v>273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100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100</v>
      </c>
      <c r="CW92" t="s">
        <v>274</v>
      </c>
      <c r="CX92" t="s">
        <v>268</v>
      </c>
      <c r="CY92">
        <v>0</v>
      </c>
    </row>
    <row r="93" spans="5:103" x14ac:dyDescent="0.2">
      <c r="E93">
        <v>0</v>
      </c>
      <c r="F93" t="s">
        <v>155</v>
      </c>
      <c r="G93">
        <v>0</v>
      </c>
      <c r="H93" t="s">
        <v>155</v>
      </c>
      <c r="AL93">
        <v>0</v>
      </c>
      <c r="AM93">
        <v>0.3</v>
      </c>
      <c r="AN93">
        <v>0.3</v>
      </c>
      <c r="AO93">
        <v>0.4</v>
      </c>
      <c r="AP93" t="s">
        <v>268</v>
      </c>
      <c r="AQ93">
        <v>0.3</v>
      </c>
      <c r="AR93">
        <v>0.3</v>
      </c>
      <c r="AS93">
        <v>0.2</v>
      </c>
      <c r="AT93">
        <v>0.2</v>
      </c>
      <c r="AU93" t="s">
        <v>268</v>
      </c>
      <c r="AV93" t="s">
        <v>34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100</v>
      </c>
      <c r="BC93">
        <v>0</v>
      </c>
      <c r="BD93">
        <v>0</v>
      </c>
      <c r="BE93">
        <v>0</v>
      </c>
      <c r="BF93">
        <v>0</v>
      </c>
      <c r="BG93">
        <v>0</v>
      </c>
      <c r="BH93" t="s">
        <v>270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100</v>
      </c>
      <c r="BO93">
        <v>0</v>
      </c>
      <c r="BP93">
        <v>0</v>
      </c>
      <c r="BQ93">
        <v>0</v>
      </c>
      <c r="BR93">
        <v>0</v>
      </c>
      <c r="BS93">
        <v>0</v>
      </c>
      <c r="BT93" t="s">
        <v>271</v>
      </c>
      <c r="BU93">
        <v>100</v>
      </c>
      <c r="BV93">
        <v>100</v>
      </c>
      <c r="BW93" t="s">
        <v>268</v>
      </c>
      <c r="BX93" t="s">
        <v>272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100</v>
      </c>
      <c r="CE93">
        <v>0</v>
      </c>
      <c r="CF93">
        <v>0</v>
      </c>
      <c r="CG93">
        <v>0</v>
      </c>
      <c r="CH93">
        <v>0</v>
      </c>
      <c r="CI93">
        <v>0</v>
      </c>
      <c r="CJ93" t="s">
        <v>273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100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100</v>
      </c>
      <c r="CW93" t="s">
        <v>274</v>
      </c>
      <c r="CX93" t="s">
        <v>268</v>
      </c>
      <c r="CY93">
        <v>0</v>
      </c>
    </row>
    <row r="94" spans="5:103" x14ac:dyDescent="0.2">
      <c r="E94">
        <v>0</v>
      </c>
      <c r="F94" t="s">
        <v>155</v>
      </c>
      <c r="G94">
        <v>0</v>
      </c>
      <c r="H94" t="s">
        <v>155</v>
      </c>
      <c r="AL94">
        <v>0</v>
      </c>
      <c r="AM94">
        <v>0.3</v>
      </c>
      <c r="AN94">
        <v>0.3</v>
      </c>
      <c r="AO94">
        <v>0.4</v>
      </c>
      <c r="AP94" t="s">
        <v>268</v>
      </c>
      <c r="AQ94">
        <v>0.3</v>
      </c>
      <c r="AR94">
        <v>0.3</v>
      </c>
      <c r="AS94">
        <v>0.2</v>
      </c>
      <c r="AT94">
        <v>0.2</v>
      </c>
      <c r="AU94" t="s">
        <v>268</v>
      </c>
      <c r="AV94" t="s">
        <v>34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100</v>
      </c>
      <c r="BC94">
        <v>0</v>
      </c>
      <c r="BD94">
        <v>0</v>
      </c>
      <c r="BE94">
        <v>0</v>
      </c>
      <c r="BF94">
        <v>0</v>
      </c>
      <c r="BG94">
        <v>0</v>
      </c>
      <c r="BH94" t="s">
        <v>270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100</v>
      </c>
      <c r="BO94">
        <v>0</v>
      </c>
      <c r="BP94">
        <v>0</v>
      </c>
      <c r="BQ94">
        <v>0</v>
      </c>
      <c r="BR94">
        <v>0</v>
      </c>
      <c r="BS94">
        <v>0</v>
      </c>
      <c r="BT94" t="s">
        <v>271</v>
      </c>
      <c r="BU94">
        <v>100</v>
      </c>
      <c r="BV94">
        <v>100</v>
      </c>
      <c r="BW94" t="s">
        <v>268</v>
      </c>
      <c r="BX94" t="s">
        <v>272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100</v>
      </c>
      <c r="CE94">
        <v>0</v>
      </c>
      <c r="CF94">
        <v>0</v>
      </c>
      <c r="CG94">
        <v>0</v>
      </c>
      <c r="CH94">
        <v>0</v>
      </c>
      <c r="CI94">
        <v>0</v>
      </c>
      <c r="CJ94" t="s">
        <v>273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100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100</v>
      </c>
      <c r="CW94" t="s">
        <v>274</v>
      </c>
      <c r="CX94" t="s">
        <v>268</v>
      </c>
      <c r="CY94">
        <v>0</v>
      </c>
    </row>
    <row r="95" spans="5:103" x14ac:dyDescent="0.2">
      <c r="E95">
        <v>0</v>
      </c>
      <c r="F95" t="s">
        <v>155</v>
      </c>
      <c r="G95">
        <v>0</v>
      </c>
      <c r="H95" t="s">
        <v>155</v>
      </c>
      <c r="AL95">
        <v>0</v>
      </c>
      <c r="AM95">
        <v>0.3</v>
      </c>
      <c r="AN95">
        <v>0.3</v>
      </c>
      <c r="AO95">
        <v>0.4</v>
      </c>
      <c r="AP95" t="s">
        <v>268</v>
      </c>
      <c r="AQ95">
        <v>0.3</v>
      </c>
      <c r="AR95">
        <v>0.3</v>
      </c>
      <c r="AS95">
        <v>0.2</v>
      </c>
      <c r="AT95">
        <v>0.2</v>
      </c>
      <c r="AU95" t="s">
        <v>268</v>
      </c>
      <c r="AV95" t="s">
        <v>34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100</v>
      </c>
      <c r="BC95">
        <v>0</v>
      </c>
      <c r="BD95">
        <v>0</v>
      </c>
      <c r="BE95">
        <v>0</v>
      </c>
      <c r="BF95">
        <v>0</v>
      </c>
      <c r="BG95">
        <v>0</v>
      </c>
      <c r="BH95" t="s">
        <v>270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100</v>
      </c>
      <c r="BO95">
        <v>0</v>
      </c>
      <c r="BP95">
        <v>0</v>
      </c>
      <c r="BQ95">
        <v>0</v>
      </c>
      <c r="BR95">
        <v>0</v>
      </c>
      <c r="BS95">
        <v>0</v>
      </c>
      <c r="BT95" t="s">
        <v>271</v>
      </c>
      <c r="BU95">
        <v>100</v>
      </c>
      <c r="BV95">
        <v>100</v>
      </c>
      <c r="BW95" t="s">
        <v>268</v>
      </c>
      <c r="BX95" t="s">
        <v>272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100</v>
      </c>
      <c r="CE95">
        <v>0</v>
      </c>
      <c r="CF95">
        <v>0</v>
      </c>
      <c r="CG95">
        <v>0</v>
      </c>
      <c r="CH95">
        <v>0</v>
      </c>
      <c r="CI95">
        <v>0</v>
      </c>
      <c r="CJ95" t="s">
        <v>273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100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100</v>
      </c>
      <c r="CW95" t="s">
        <v>274</v>
      </c>
      <c r="CX95" t="s">
        <v>268</v>
      </c>
      <c r="CY95">
        <v>0</v>
      </c>
    </row>
    <row r="96" spans="5:103" x14ac:dyDescent="0.2">
      <c r="E96">
        <v>0</v>
      </c>
      <c r="F96" t="s">
        <v>155</v>
      </c>
      <c r="G96">
        <v>0</v>
      </c>
      <c r="H96" t="s">
        <v>155</v>
      </c>
      <c r="AL96">
        <v>0</v>
      </c>
      <c r="AM96">
        <v>0.3</v>
      </c>
      <c r="AN96">
        <v>0.3</v>
      </c>
      <c r="AO96">
        <v>0.4</v>
      </c>
      <c r="AP96" t="s">
        <v>268</v>
      </c>
      <c r="AQ96">
        <v>0.3</v>
      </c>
      <c r="AR96">
        <v>0.3</v>
      </c>
      <c r="AS96">
        <v>0.2</v>
      </c>
      <c r="AT96">
        <v>0.2</v>
      </c>
      <c r="AU96" t="s">
        <v>268</v>
      </c>
      <c r="AV96" t="s">
        <v>34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100</v>
      </c>
      <c r="BC96">
        <v>0</v>
      </c>
      <c r="BD96">
        <v>0</v>
      </c>
      <c r="BE96">
        <v>0</v>
      </c>
      <c r="BF96">
        <v>0</v>
      </c>
      <c r="BG96">
        <v>0</v>
      </c>
      <c r="BH96" t="s">
        <v>270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100</v>
      </c>
      <c r="BO96">
        <v>0</v>
      </c>
      <c r="BP96">
        <v>0</v>
      </c>
      <c r="BQ96">
        <v>0</v>
      </c>
      <c r="BR96">
        <v>0</v>
      </c>
      <c r="BS96">
        <v>0</v>
      </c>
      <c r="BT96" t="s">
        <v>271</v>
      </c>
      <c r="BU96">
        <v>100</v>
      </c>
      <c r="BV96">
        <v>100</v>
      </c>
      <c r="BW96" t="s">
        <v>268</v>
      </c>
      <c r="BX96" t="s">
        <v>272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100</v>
      </c>
      <c r="CE96">
        <v>0</v>
      </c>
      <c r="CF96">
        <v>0</v>
      </c>
      <c r="CG96">
        <v>0</v>
      </c>
      <c r="CH96">
        <v>0</v>
      </c>
      <c r="CI96">
        <v>0</v>
      </c>
      <c r="CJ96" t="s">
        <v>273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100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100</v>
      </c>
      <c r="CW96" t="s">
        <v>274</v>
      </c>
      <c r="CX96" t="s">
        <v>268</v>
      </c>
      <c r="CY96">
        <v>0</v>
      </c>
    </row>
    <row r="97" spans="5:103" x14ac:dyDescent="0.2">
      <c r="E97">
        <v>0</v>
      </c>
      <c r="F97" t="s">
        <v>155</v>
      </c>
      <c r="G97">
        <v>0</v>
      </c>
      <c r="H97" t="s">
        <v>155</v>
      </c>
      <c r="AL97">
        <v>0</v>
      </c>
      <c r="AM97">
        <v>0.3</v>
      </c>
      <c r="AN97">
        <v>0.3</v>
      </c>
      <c r="AO97">
        <v>0.4</v>
      </c>
      <c r="AP97" t="s">
        <v>268</v>
      </c>
      <c r="AQ97">
        <v>0.3</v>
      </c>
      <c r="AR97">
        <v>0.3</v>
      </c>
      <c r="AS97">
        <v>0.2</v>
      </c>
      <c r="AT97">
        <v>0.2</v>
      </c>
      <c r="AU97" t="s">
        <v>268</v>
      </c>
      <c r="AV97" t="s">
        <v>34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100</v>
      </c>
      <c r="BC97">
        <v>0</v>
      </c>
      <c r="BD97">
        <v>0</v>
      </c>
      <c r="BE97">
        <v>0</v>
      </c>
      <c r="BF97">
        <v>0</v>
      </c>
      <c r="BG97">
        <v>0</v>
      </c>
      <c r="BH97" t="s">
        <v>270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100</v>
      </c>
      <c r="BO97">
        <v>0</v>
      </c>
      <c r="BP97">
        <v>0</v>
      </c>
      <c r="BQ97">
        <v>0</v>
      </c>
      <c r="BR97">
        <v>0</v>
      </c>
      <c r="BS97">
        <v>0</v>
      </c>
      <c r="BT97" t="s">
        <v>271</v>
      </c>
      <c r="BU97">
        <v>100</v>
      </c>
      <c r="BV97">
        <v>100</v>
      </c>
      <c r="BW97" t="s">
        <v>268</v>
      </c>
      <c r="BX97" t="s">
        <v>272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100</v>
      </c>
      <c r="CE97">
        <v>0</v>
      </c>
      <c r="CF97">
        <v>0</v>
      </c>
      <c r="CG97">
        <v>0</v>
      </c>
      <c r="CH97">
        <v>0</v>
      </c>
      <c r="CI97">
        <v>0</v>
      </c>
      <c r="CJ97" t="s">
        <v>273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100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100</v>
      </c>
      <c r="CW97" t="s">
        <v>274</v>
      </c>
      <c r="CX97" t="s">
        <v>268</v>
      </c>
      <c r="CY97">
        <v>0</v>
      </c>
    </row>
    <row r="98" spans="5:103" x14ac:dyDescent="0.2">
      <c r="E98">
        <v>0</v>
      </c>
      <c r="F98" t="s">
        <v>155</v>
      </c>
      <c r="G98">
        <v>0</v>
      </c>
      <c r="H98" t="s">
        <v>155</v>
      </c>
      <c r="AL98">
        <v>0</v>
      </c>
      <c r="AM98">
        <v>0.3</v>
      </c>
      <c r="AN98">
        <v>0.3</v>
      </c>
      <c r="AO98">
        <v>0.4</v>
      </c>
      <c r="AP98" t="s">
        <v>268</v>
      </c>
      <c r="AQ98">
        <v>0.3</v>
      </c>
      <c r="AR98">
        <v>0.3</v>
      </c>
      <c r="AS98">
        <v>0.2</v>
      </c>
      <c r="AT98">
        <v>0.2</v>
      </c>
      <c r="AU98" t="s">
        <v>268</v>
      </c>
      <c r="AV98" t="s">
        <v>34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100</v>
      </c>
      <c r="BC98">
        <v>0</v>
      </c>
      <c r="BD98">
        <v>0</v>
      </c>
      <c r="BE98">
        <v>0</v>
      </c>
      <c r="BF98">
        <v>0</v>
      </c>
      <c r="BG98">
        <v>0</v>
      </c>
      <c r="BH98" t="s">
        <v>270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100</v>
      </c>
      <c r="BO98">
        <v>0</v>
      </c>
      <c r="BP98">
        <v>0</v>
      </c>
      <c r="BQ98">
        <v>0</v>
      </c>
      <c r="BR98">
        <v>0</v>
      </c>
      <c r="BS98">
        <v>0</v>
      </c>
      <c r="BT98" t="s">
        <v>271</v>
      </c>
      <c r="BU98">
        <v>100</v>
      </c>
      <c r="BV98">
        <v>100</v>
      </c>
      <c r="BW98" t="s">
        <v>268</v>
      </c>
      <c r="BX98" t="s">
        <v>272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100</v>
      </c>
      <c r="CE98">
        <v>0</v>
      </c>
      <c r="CF98">
        <v>0</v>
      </c>
      <c r="CG98">
        <v>0</v>
      </c>
      <c r="CH98">
        <v>0</v>
      </c>
      <c r="CI98">
        <v>0</v>
      </c>
      <c r="CJ98" t="s">
        <v>273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100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100</v>
      </c>
      <c r="CW98" t="s">
        <v>274</v>
      </c>
      <c r="CX98" t="s">
        <v>268</v>
      </c>
      <c r="CY98">
        <v>0</v>
      </c>
    </row>
    <row r="99" spans="5:103" x14ac:dyDescent="0.2">
      <c r="E99">
        <v>0</v>
      </c>
      <c r="F99" t="s">
        <v>155</v>
      </c>
      <c r="G99">
        <v>0</v>
      </c>
      <c r="H99" t="s">
        <v>155</v>
      </c>
      <c r="AL99">
        <v>0</v>
      </c>
      <c r="AM99">
        <v>0.3</v>
      </c>
      <c r="AN99">
        <v>0.3</v>
      </c>
      <c r="AO99">
        <v>0.4</v>
      </c>
      <c r="AP99" t="s">
        <v>268</v>
      </c>
      <c r="AQ99">
        <v>0.3</v>
      </c>
      <c r="AR99">
        <v>0.3</v>
      </c>
      <c r="AS99">
        <v>0.2</v>
      </c>
      <c r="AT99">
        <v>0.2</v>
      </c>
      <c r="AU99" t="s">
        <v>268</v>
      </c>
      <c r="AV99" t="s">
        <v>34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100</v>
      </c>
      <c r="BC99">
        <v>0</v>
      </c>
      <c r="BD99">
        <v>0</v>
      </c>
      <c r="BE99">
        <v>0</v>
      </c>
      <c r="BF99">
        <v>0</v>
      </c>
      <c r="BG99">
        <v>0</v>
      </c>
      <c r="BH99" t="s">
        <v>270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100</v>
      </c>
      <c r="BO99">
        <v>0</v>
      </c>
      <c r="BP99">
        <v>0</v>
      </c>
      <c r="BQ99">
        <v>0</v>
      </c>
      <c r="BR99">
        <v>0</v>
      </c>
      <c r="BS99">
        <v>0</v>
      </c>
      <c r="BT99" t="s">
        <v>271</v>
      </c>
      <c r="BU99">
        <v>100</v>
      </c>
      <c r="BV99">
        <v>100</v>
      </c>
      <c r="BW99" t="s">
        <v>268</v>
      </c>
      <c r="BX99" t="s">
        <v>272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100</v>
      </c>
      <c r="CE99">
        <v>0</v>
      </c>
      <c r="CF99">
        <v>0</v>
      </c>
      <c r="CG99">
        <v>0</v>
      </c>
      <c r="CH99">
        <v>0</v>
      </c>
      <c r="CI99">
        <v>0</v>
      </c>
      <c r="CJ99" t="s">
        <v>273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100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100</v>
      </c>
      <c r="CW99" t="s">
        <v>274</v>
      </c>
      <c r="CX99" t="s">
        <v>268</v>
      </c>
      <c r="CY99">
        <v>0</v>
      </c>
    </row>
    <row r="100" spans="5:103" x14ac:dyDescent="0.2">
      <c r="E100">
        <v>0</v>
      </c>
      <c r="F100" t="s">
        <v>155</v>
      </c>
      <c r="G100">
        <v>0</v>
      </c>
      <c r="H100" t="s">
        <v>155</v>
      </c>
      <c r="AL100">
        <v>0</v>
      </c>
      <c r="AM100">
        <v>0.3</v>
      </c>
      <c r="AN100">
        <v>0.3</v>
      </c>
      <c r="AO100">
        <v>0.4</v>
      </c>
      <c r="AP100" t="s">
        <v>268</v>
      </c>
      <c r="AQ100">
        <v>0.3</v>
      </c>
      <c r="AR100">
        <v>0.3</v>
      </c>
      <c r="AS100">
        <v>0.2</v>
      </c>
      <c r="AT100">
        <v>0.2</v>
      </c>
      <c r="AU100" t="s">
        <v>268</v>
      </c>
      <c r="AV100" t="s">
        <v>34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100</v>
      </c>
      <c r="BC100">
        <v>0</v>
      </c>
      <c r="BD100">
        <v>0</v>
      </c>
      <c r="BE100">
        <v>0</v>
      </c>
      <c r="BF100">
        <v>0</v>
      </c>
      <c r="BG100">
        <v>0</v>
      </c>
      <c r="BH100" t="s">
        <v>270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100</v>
      </c>
      <c r="BO100">
        <v>0</v>
      </c>
      <c r="BP100">
        <v>0</v>
      </c>
      <c r="BQ100">
        <v>0</v>
      </c>
      <c r="BR100">
        <v>0</v>
      </c>
      <c r="BS100">
        <v>0</v>
      </c>
      <c r="BT100" t="s">
        <v>271</v>
      </c>
      <c r="BU100">
        <v>100</v>
      </c>
      <c r="BV100">
        <v>100</v>
      </c>
      <c r="BW100" t="s">
        <v>268</v>
      </c>
      <c r="BX100" t="s">
        <v>272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100</v>
      </c>
      <c r="CE100">
        <v>0</v>
      </c>
      <c r="CF100">
        <v>0</v>
      </c>
      <c r="CG100">
        <v>0</v>
      </c>
      <c r="CH100">
        <v>0</v>
      </c>
      <c r="CI100">
        <v>0</v>
      </c>
      <c r="CJ100" t="s">
        <v>273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100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100</v>
      </c>
      <c r="CW100" t="s">
        <v>274</v>
      </c>
      <c r="CX100" t="s">
        <v>268</v>
      </c>
      <c r="CY100">
        <v>0</v>
      </c>
    </row>
    <row r="101" spans="5:103" x14ac:dyDescent="0.2">
      <c r="E101">
        <v>0</v>
      </c>
      <c r="F101" t="s">
        <v>155</v>
      </c>
      <c r="G101">
        <v>0</v>
      </c>
      <c r="H101" t="s">
        <v>155</v>
      </c>
      <c r="AL101">
        <v>0</v>
      </c>
      <c r="AM101">
        <v>0.3</v>
      </c>
      <c r="AN101">
        <v>0.3</v>
      </c>
      <c r="AO101">
        <v>0.4</v>
      </c>
      <c r="AP101" t="s">
        <v>268</v>
      </c>
      <c r="AQ101">
        <v>0.3</v>
      </c>
      <c r="AR101">
        <v>0.3</v>
      </c>
      <c r="AS101">
        <v>0.2</v>
      </c>
      <c r="AT101">
        <v>0.2</v>
      </c>
      <c r="AU101" t="s">
        <v>268</v>
      </c>
      <c r="AV101" t="s">
        <v>34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100</v>
      </c>
      <c r="BC101">
        <v>0</v>
      </c>
      <c r="BD101">
        <v>0</v>
      </c>
      <c r="BE101">
        <v>0</v>
      </c>
      <c r="BF101">
        <v>0</v>
      </c>
      <c r="BG101">
        <v>0</v>
      </c>
      <c r="BH101" t="s">
        <v>270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100</v>
      </c>
      <c r="BO101">
        <v>0</v>
      </c>
      <c r="BP101">
        <v>0</v>
      </c>
      <c r="BQ101">
        <v>0</v>
      </c>
      <c r="BR101">
        <v>0</v>
      </c>
      <c r="BS101">
        <v>0</v>
      </c>
      <c r="BT101" t="s">
        <v>271</v>
      </c>
      <c r="BU101">
        <v>100</v>
      </c>
      <c r="BV101">
        <v>100</v>
      </c>
      <c r="BW101" t="s">
        <v>268</v>
      </c>
      <c r="BX101" t="s">
        <v>272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100</v>
      </c>
      <c r="CE101">
        <v>0</v>
      </c>
      <c r="CF101">
        <v>0</v>
      </c>
      <c r="CG101">
        <v>0</v>
      </c>
      <c r="CH101">
        <v>0</v>
      </c>
      <c r="CI101">
        <v>0</v>
      </c>
      <c r="CJ101" t="s">
        <v>273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100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100</v>
      </c>
      <c r="CW101" t="s">
        <v>274</v>
      </c>
      <c r="CX101" t="s">
        <v>268</v>
      </c>
      <c r="CY101">
        <v>0</v>
      </c>
    </row>
    <row r="102" spans="5:103" x14ac:dyDescent="0.2">
      <c r="E102">
        <v>0</v>
      </c>
      <c r="F102" t="s">
        <v>155</v>
      </c>
      <c r="G102">
        <v>0</v>
      </c>
      <c r="H102" t="s">
        <v>155</v>
      </c>
      <c r="AL102">
        <v>0</v>
      </c>
      <c r="AM102">
        <v>0.3</v>
      </c>
      <c r="AN102">
        <v>0.3</v>
      </c>
      <c r="AO102">
        <v>0.3</v>
      </c>
      <c r="AP102">
        <v>0.1</v>
      </c>
      <c r="AQ102">
        <v>0.3</v>
      </c>
      <c r="AR102">
        <v>0.3</v>
      </c>
      <c r="AS102">
        <v>0.2</v>
      </c>
      <c r="AT102">
        <v>0.2</v>
      </c>
      <c r="AU102">
        <v>0.1</v>
      </c>
      <c r="AV102" t="s">
        <v>275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100</v>
      </c>
      <c r="BC102">
        <v>0</v>
      </c>
      <c r="BD102">
        <v>0</v>
      </c>
      <c r="BE102">
        <v>0</v>
      </c>
      <c r="BF102">
        <v>0</v>
      </c>
      <c r="BG102">
        <v>0</v>
      </c>
      <c r="BH102" t="s">
        <v>270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100</v>
      </c>
      <c r="BO102">
        <v>0</v>
      </c>
      <c r="BP102">
        <v>0</v>
      </c>
      <c r="BQ102">
        <v>0</v>
      </c>
      <c r="BR102">
        <v>0</v>
      </c>
      <c r="BS102">
        <v>0</v>
      </c>
      <c r="BT102" t="s">
        <v>271</v>
      </c>
      <c r="BU102">
        <v>100</v>
      </c>
      <c r="BV102">
        <v>0</v>
      </c>
      <c r="BW102" t="s">
        <v>276</v>
      </c>
      <c r="BX102" t="s">
        <v>272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100</v>
      </c>
      <c r="CE102">
        <v>0</v>
      </c>
      <c r="CF102">
        <v>0</v>
      </c>
      <c r="CG102">
        <v>0</v>
      </c>
      <c r="CH102">
        <v>0</v>
      </c>
      <c r="CI102">
        <v>0</v>
      </c>
      <c r="CJ102" t="s">
        <v>273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100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100</v>
      </c>
      <c r="CW102" t="s">
        <v>274</v>
      </c>
      <c r="CX102" t="s">
        <v>276</v>
      </c>
      <c r="CY102">
        <v>0</v>
      </c>
    </row>
    <row r="103" spans="5:103" x14ac:dyDescent="0.2">
      <c r="E103">
        <v>0</v>
      </c>
      <c r="F103" t="s">
        <v>155</v>
      </c>
      <c r="G103">
        <v>0</v>
      </c>
      <c r="H103" t="s">
        <v>155</v>
      </c>
      <c r="AL103">
        <v>0</v>
      </c>
      <c r="AM103">
        <v>0.3</v>
      </c>
      <c r="AN103">
        <v>0.3</v>
      </c>
      <c r="AO103">
        <v>0.3</v>
      </c>
      <c r="AP103">
        <v>0.1</v>
      </c>
      <c r="AQ103">
        <v>0.3</v>
      </c>
      <c r="AR103">
        <v>0.3</v>
      </c>
      <c r="AS103">
        <v>0.2</v>
      </c>
      <c r="AT103">
        <v>0.2</v>
      </c>
      <c r="AU103">
        <v>0.1</v>
      </c>
      <c r="AV103" t="s">
        <v>275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100</v>
      </c>
      <c r="BC103">
        <v>0</v>
      </c>
      <c r="BD103">
        <v>0</v>
      </c>
      <c r="BE103">
        <v>0</v>
      </c>
      <c r="BF103">
        <v>0</v>
      </c>
      <c r="BG103">
        <v>0</v>
      </c>
      <c r="BH103" t="s">
        <v>270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100</v>
      </c>
      <c r="BO103">
        <v>0</v>
      </c>
      <c r="BP103">
        <v>0</v>
      </c>
      <c r="BQ103">
        <v>0</v>
      </c>
      <c r="BR103">
        <v>0</v>
      </c>
      <c r="BS103">
        <v>0</v>
      </c>
      <c r="BT103" t="s">
        <v>271</v>
      </c>
      <c r="BU103">
        <v>100</v>
      </c>
      <c r="BV103">
        <v>0</v>
      </c>
      <c r="BW103" t="s">
        <v>276</v>
      </c>
      <c r="BX103" t="s">
        <v>272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100</v>
      </c>
      <c r="CE103">
        <v>0</v>
      </c>
      <c r="CF103">
        <v>0</v>
      </c>
      <c r="CG103">
        <v>0</v>
      </c>
      <c r="CH103">
        <v>0</v>
      </c>
      <c r="CI103">
        <v>0</v>
      </c>
      <c r="CJ103" t="s">
        <v>273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100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100</v>
      </c>
      <c r="CW103" t="s">
        <v>274</v>
      </c>
      <c r="CX103" t="s">
        <v>276</v>
      </c>
      <c r="CY103">
        <v>0</v>
      </c>
    </row>
    <row r="104" spans="5:103" x14ac:dyDescent="0.2">
      <c r="E104">
        <v>0</v>
      </c>
      <c r="F104" t="s">
        <v>155</v>
      </c>
      <c r="G104">
        <v>0</v>
      </c>
      <c r="H104" t="s">
        <v>155</v>
      </c>
      <c r="AL104">
        <v>0</v>
      </c>
      <c r="AM104">
        <v>0.3</v>
      </c>
      <c r="AN104">
        <v>0.3</v>
      </c>
      <c r="AO104">
        <v>0.3</v>
      </c>
      <c r="AP104">
        <v>0.1</v>
      </c>
      <c r="AQ104">
        <v>0.3</v>
      </c>
      <c r="AR104">
        <v>0.3</v>
      </c>
      <c r="AS104">
        <v>0.2</v>
      </c>
      <c r="AT104">
        <v>0.2</v>
      </c>
      <c r="AU104">
        <v>0.1</v>
      </c>
      <c r="AV104" t="s">
        <v>275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100</v>
      </c>
      <c r="BC104">
        <v>0</v>
      </c>
      <c r="BD104">
        <v>0</v>
      </c>
      <c r="BE104">
        <v>0</v>
      </c>
      <c r="BF104">
        <v>0</v>
      </c>
      <c r="BG104">
        <v>0</v>
      </c>
      <c r="BH104" t="s">
        <v>270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100</v>
      </c>
      <c r="BO104">
        <v>0</v>
      </c>
      <c r="BP104">
        <v>0</v>
      </c>
      <c r="BQ104">
        <v>0</v>
      </c>
      <c r="BR104">
        <v>0</v>
      </c>
      <c r="BS104">
        <v>0</v>
      </c>
      <c r="BT104" t="s">
        <v>271</v>
      </c>
      <c r="BU104">
        <v>100</v>
      </c>
      <c r="BV104">
        <v>0</v>
      </c>
      <c r="BW104" t="s">
        <v>276</v>
      </c>
      <c r="BX104" t="s">
        <v>272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100</v>
      </c>
      <c r="CE104">
        <v>0</v>
      </c>
      <c r="CF104">
        <v>0</v>
      </c>
      <c r="CG104">
        <v>0</v>
      </c>
      <c r="CH104">
        <v>0</v>
      </c>
      <c r="CI104">
        <v>0</v>
      </c>
      <c r="CJ104" t="s">
        <v>273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100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100</v>
      </c>
      <c r="CW104" t="s">
        <v>274</v>
      </c>
      <c r="CX104" t="s">
        <v>276</v>
      </c>
      <c r="CY104">
        <v>0</v>
      </c>
    </row>
    <row r="105" spans="5:103" x14ac:dyDescent="0.2">
      <c r="E105">
        <v>0</v>
      </c>
      <c r="F105" t="s">
        <v>155</v>
      </c>
      <c r="G105">
        <v>0</v>
      </c>
      <c r="H105" t="s">
        <v>155</v>
      </c>
      <c r="AL105">
        <v>0</v>
      </c>
      <c r="AM105">
        <v>0.3</v>
      </c>
      <c r="AN105">
        <v>0.3</v>
      </c>
      <c r="AO105">
        <v>0.3</v>
      </c>
      <c r="AP105">
        <v>0.1</v>
      </c>
      <c r="AQ105">
        <v>0.3</v>
      </c>
      <c r="AR105">
        <v>0.3</v>
      </c>
      <c r="AS105">
        <v>0.2</v>
      </c>
      <c r="AT105">
        <v>0.2</v>
      </c>
      <c r="AU105">
        <v>0.1</v>
      </c>
      <c r="AV105" t="s">
        <v>275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100</v>
      </c>
      <c r="BC105">
        <v>0</v>
      </c>
      <c r="BD105">
        <v>0</v>
      </c>
      <c r="BE105">
        <v>0</v>
      </c>
      <c r="BF105">
        <v>0</v>
      </c>
      <c r="BG105">
        <v>0</v>
      </c>
      <c r="BH105" t="s">
        <v>270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100</v>
      </c>
      <c r="BO105">
        <v>0</v>
      </c>
      <c r="BP105">
        <v>0</v>
      </c>
      <c r="BQ105">
        <v>0</v>
      </c>
      <c r="BR105">
        <v>0</v>
      </c>
      <c r="BS105">
        <v>0</v>
      </c>
      <c r="BT105" t="s">
        <v>271</v>
      </c>
      <c r="BU105">
        <v>100</v>
      </c>
      <c r="BV105">
        <v>0</v>
      </c>
      <c r="BW105" t="s">
        <v>276</v>
      </c>
      <c r="BX105" t="s">
        <v>272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100</v>
      </c>
      <c r="CE105">
        <v>0</v>
      </c>
      <c r="CF105">
        <v>0</v>
      </c>
      <c r="CG105">
        <v>0</v>
      </c>
      <c r="CH105">
        <v>0</v>
      </c>
      <c r="CI105">
        <v>0</v>
      </c>
      <c r="CJ105" t="s">
        <v>273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100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100</v>
      </c>
      <c r="CW105" t="s">
        <v>274</v>
      </c>
      <c r="CX105" t="s">
        <v>276</v>
      </c>
      <c r="CY105">
        <v>0</v>
      </c>
    </row>
    <row r="106" spans="5:103" x14ac:dyDescent="0.2">
      <c r="E106">
        <v>0</v>
      </c>
      <c r="F106" t="s">
        <v>155</v>
      </c>
      <c r="G106">
        <v>0</v>
      </c>
      <c r="H106" t="s">
        <v>155</v>
      </c>
      <c r="AL106">
        <v>0</v>
      </c>
      <c r="AM106">
        <v>0.3</v>
      </c>
      <c r="AN106">
        <v>0.3</v>
      </c>
      <c r="AO106">
        <v>0.3</v>
      </c>
      <c r="AP106">
        <v>0.1</v>
      </c>
      <c r="AQ106">
        <v>0.3</v>
      </c>
      <c r="AR106">
        <v>0.3</v>
      </c>
      <c r="AS106">
        <v>0.2</v>
      </c>
      <c r="AT106">
        <v>0.2</v>
      </c>
      <c r="AU106">
        <v>0.1</v>
      </c>
      <c r="AV106" t="s">
        <v>275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100</v>
      </c>
      <c r="BC106">
        <v>0</v>
      </c>
      <c r="BD106">
        <v>0</v>
      </c>
      <c r="BE106">
        <v>0</v>
      </c>
      <c r="BF106">
        <v>0</v>
      </c>
      <c r="BG106">
        <v>0</v>
      </c>
      <c r="BH106" t="s">
        <v>270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100</v>
      </c>
      <c r="BO106">
        <v>0</v>
      </c>
      <c r="BP106">
        <v>0</v>
      </c>
      <c r="BQ106">
        <v>0</v>
      </c>
      <c r="BR106">
        <v>0</v>
      </c>
      <c r="BS106">
        <v>0</v>
      </c>
      <c r="BT106" t="s">
        <v>271</v>
      </c>
      <c r="BU106">
        <v>100</v>
      </c>
      <c r="BV106">
        <v>0</v>
      </c>
      <c r="BW106" t="s">
        <v>276</v>
      </c>
      <c r="BX106" t="s">
        <v>272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100</v>
      </c>
      <c r="CE106">
        <v>0</v>
      </c>
      <c r="CF106">
        <v>0</v>
      </c>
      <c r="CG106">
        <v>0</v>
      </c>
      <c r="CH106">
        <v>0</v>
      </c>
      <c r="CI106">
        <v>0</v>
      </c>
      <c r="CJ106" t="s">
        <v>273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100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100</v>
      </c>
      <c r="CW106" t="s">
        <v>274</v>
      </c>
      <c r="CX106" t="s">
        <v>276</v>
      </c>
      <c r="CY106">
        <v>0</v>
      </c>
    </row>
    <row r="107" spans="5:103" x14ac:dyDescent="0.2">
      <c r="E107">
        <v>0</v>
      </c>
      <c r="F107" t="s">
        <v>155</v>
      </c>
      <c r="G107">
        <v>0</v>
      </c>
      <c r="H107" t="s">
        <v>155</v>
      </c>
      <c r="AL107">
        <v>0</v>
      </c>
      <c r="AM107">
        <v>0.3</v>
      </c>
      <c r="AN107">
        <v>0.3</v>
      </c>
      <c r="AO107">
        <v>0.3</v>
      </c>
      <c r="AP107">
        <v>0.1</v>
      </c>
      <c r="AQ107">
        <v>0.3</v>
      </c>
      <c r="AR107">
        <v>0.3</v>
      </c>
      <c r="AS107">
        <v>0.2</v>
      </c>
      <c r="AT107">
        <v>0.2</v>
      </c>
      <c r="AU107">
        <v>0.1</v>
      </c>
      <c r="AV107" t="s">
        <v>275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100</v>
      </c>
      <c r="BC107">
        <v>0</v>
      </c>
      <c r="BD107">
        <v>0</v>
      </c>
      <c r="BE107">
        <v>0</v>
      </c>
      <c r="BF107">
        <v>0</v>
      </c>
      <c r="BG107">
        <v>0</v>
      </c>
      <c r="BH107" t="s">
        <v>270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100</v>
      </c>
      <c r="BO107">
        <v>0</v>
      </c>
      <c r="BP107">
        <v>0</v>
      </c>
      <c r="BQ107">
        <v>0</v>
      </c>
      <c r="BR107">
        <v>0</v>
      </c>
      <c r="BS107">
        <v>0</v>
      </c>
      <c r="BT107" t="s">
        <v>271</v>
      </c>
      <c r="BU107">
        <v>100</v>
      </c>
      <c r="BV107">
        <v>0</v>
      </c>
      <c r="BW107" t="s">
        <v>276</v>
      </c>
      <c r="BX107" t="s">
        <v>272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100</v>
      </c>
      <c r="CE107">
        <v>0</v>
      </c>
      <c r="CF107">
        <v>0</v>
      </c>
      <c r="CG107">
        <v>0</v>
      </c>
      <c r="CH107">
        <v>0</v>
      </c>
      <c r="CI107">
        <v>0</v>
      </c>
      <c r="CJ107" t="s">
        <v>273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100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100</v>
      </c>
      <c r="CW107" t="s">
        <v>274</v>
      </c>
      <c r="CX107" t="s">
        <v>276</v>
      </c>
      <c r="CY107">
        <v>0</v>
      </c>
    </row>
    <row r="108" spans="5:103" x14ac:dyDescent="0.2">
      <c r="E108">
        <v>0</v>
      </c>
      <c r="F108" t="s">
        <v>155</v>
      </c>
      <c r="G108">
        <v>0</v>
      </c>
      <c r="H108" t="s">
        <v>155</v>
      </c>
      <c r="AL108">
        <v>0</v>
      </c>
      <c r="AM108">
        <v>0.3</v>
      </c>
      <c r="AN108">
        <v>0.3</v>
      </c>
      <c r="AO108">
        <v>0.3</v>
      </c>
      <c r="AP108">
        <v>0.1</v>
      </c>
      <c r="AQ108">
        <v>0.3</v>
      </c>
      <c r="AR108">
        <v>0.3</v>
      </c>
      <c r="AS108">
        <v>0.2</v>
      </c>
      <c r="AT108">
        <v>0.2</v>
      </c>
      <c r="AU108">
        <v>0.1</v>
      </c>
      <c r="AV108" t="s">
        <v>275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100</v>
      </c>
      <c r="BC108">
        <v>0</v>
      </c>
      <c r="BD108">
        <v>0</v>
      </c>
      <c r="BE108">
        <v>0</v>
      </c>
      <c r="BF108">
        <v>0</v>
      </c>
      <c r="BG108">
        <v>0</v>
      </c>
      <c r="BH108" t="s">
        <v>270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100</v>
      </c>
      <c r="BO108">
        <v>0</v>
      </c>
      <c r="BP108">
        <v>0</v>
      </c>
      <c r="BQ108">
        <v>0</v>
      </c>
      <c r="BR108">
        <v>0</v>
      </c>
      <c r="BS108">
        <v>0</v>
      </c>
      <c r="BT108" t="s">
        <v>271</v>
      </c>
      <c r="BU108">
        <v>100</v>
      </c>
      <c r="BV108">
        <v>0</v>
      </c>
      <c r="BW108" t="s">
        <v>276</v>
      </c>
      <c r="BX108" t="s">
        <v>272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100</v>
      </c>
      <c r="CE108">
        <v>0</v>
      </c>
      <c r="CF108">
        <v>0</v>
      </c>
      <c r="CG108">
        <v>0</v>
      </c>
      <c r="CH108">
        <v>0</v>
      </c>
      <c r="CI108">
        <v>0</v>
      </c>
      <c r="CJ108" t="s">
        <v>273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100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100</v>
      </c>
      <c r="CW108" t="s">
        <v>274</v>
      </c>
      <c r="CX108" t="s">
        <v>276</v>
      </c>
      <c r="CY108">
        <v>0</v>
      </c>
    </row>
    <row r="109" spans="5:103" x14ac:dyDescent="0.2">
      <c r="E109">
        <v>0</v>
      </c>
      <c r="F109" t="s">
        <v>155</v>
      </c>
      <c r="G109">
        <v>0</v>
      </c>
      <c r="H109" t="s">
        <v>155</v>
      </c>
      <c r="AL109">
        <v>0</v>
      </c>
      <c r="AM109">
        <v>0.3</v>
      </c>
      <c r="AN109">
        <v>0.3</v>
      </c>
      <c r="AO109">
        <v>0.3</v>
      </c>
      <c r="AP109">
        <v>0.1</v>
      </c>
      <c r="AQ109">
        <v>0.3</v>
      </c>
      <c r="AR109">
        <v>0.3</v>
      </c>
      <c r="AS109">
        <v>0.2</v>
      </c>
      <c r="AT109">
        <v>0.2</v>
      </c>
      <c r="AU109">
        <v>0.1</v>
      </c>
      <c r="AV109" t="s">
        <v>275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100</v>
      </c>
      <c r="BC109">
        <v>0</v>
      </c>
      <c r="BD109">
        <v>0</v>
      </c>
      <c r="BE109">
        <v>0</v>
      </c>
      <c r="BF109">
        <v>0</v>
      </c>
      <c r="BG109">
        <v>0</v>
      </c>
      <c r="BH109" t="s">
        <v>270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100</v>
      </c>
      <c r="BO109">
        <v>0</v>
      </c>
      <c r="BP109">
        <v>0</v>
      </c>
      <c r="BQ109">
        <v>0</v>
      </c>
      <c r="BR109">
        <v>0</v>
      </c>
      <c r="BS109">
        <v>0</v>
      </c>
      <c r="BT109" t="s">
        <v>271</v>
      </c>
      <c r="BU109">
        <v>100</v>
      </c>
      <c r="BV109">
        <v>0</v>
      </c>
      <c r="BW109" t="s">
        <v>276</v>
      </c>
      <c r="BX109" t="s">
        <v>272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100</v>
      </c>
      <c r="CE109">
        <v>0</v>
      </c>
      <c r="CF109">
        <v>0</v>
      </c>
      <c r="CG109">
        <v>0</v>
      </c>
      <c r="CH109">
        <v>0</v>
      </c>
      <c r="CI109">
        <v>0</v>
      </c>
      <c r="CJ109" t="s">
        <v>273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100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100</v>
      </c>
      <c r="CW109" t="s">
        <v>274</v>
      </c>
      <c r="CX109" t="s">
        <v>276</v>
      </c>
      <c r="CY109">
        <v>0</v>
      </c>
    </row>
    <row r="110" spans="5:103" x14ac:dyDescent="0.2">
      <c r="E110">
        <v>0</v>
      </c>
      <c r="F110" t="s">
        <v>155</v>
      </c>
      <c r="G110">
        <v>0</v>
      </c>
      <c r="H110" t="s">
        <v>155</v>
      </c>
      <c r="AL110">
        <v>0</v>
      </c>
      <c r="AM110">
        <v>0.3</v>
      </c>
      <c r="AN110">
        <v>0.3</v>
      </c>
      <c r="AO110">
        <v>0.3</v>
      </c>
      <c r="AP110">
        <v>0.1</v>
      </c>
      <c r="AQ110">
        <v>0.3</v>
      </c>
      <c r="AR110">
        <v>0.3</v>
      </c>
      <c r="AS110">
        <v>0.2</v>
      </c>
      <c r="AT110">
        <v>0.2</v>
      </c>
      <c r="AU110">
        <v>0.1</v>
      </c>
      <c r="AV110" t="s">
        <v>275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100</v>
      </c>
      <c r="BC110">
        <v>0</v>
      </c>
      <c r="BD110">
        <v>0</v>
      </c>
      <c r="BE110">
        <v>0</v>
      </c>
      <c r="BF110">
        <v>0</v>
      </c>
      <c r="BG110">
        <v>0</v>
      </c>
      <c r="BH110" t="s">
        <v>270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100</v>
      </c>
      <c r="BO110">
        <v>0</v>
      </c>
      <c r="BP110">
        <v>0</v>
      </c>
      <c r="BQ110">
        <v>0</v>
      </c>
      <c r="BR110">
        <v>0</v>
      </c>
      <c r="BS110">
        <v>0</v>
      </c>
      <c r="BT110" t="s">
        <v>271</v>
      </c>
      <c r="BU110">
        <v>100</v>
      </c>
      <c r="BV110">
        <v>0</v>
      </c>
      <c r="BW110" t="s">
        <v>276</v>
      </c>
      <c r="BX110" t="s">
        <v>272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100</v>
      </c>
      <c r="CE110">
        <v>0</v>
      </c>
      <c r="CF110">
        <v>0</v>
      </c>
      <c r="CG110">
        <v>0</v>
      </c>
      <c r="CH110">
        <v>0</v>
      </c>
      <c r="CI110">
        <v>0</v>
      </c>
      <c r="CJ110" t="s">
        <v>273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100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100</v>
      </c>
      <c r="CW110" t="s">
        <v>274</v>
      </c>
      <c r="CX110" t="s">
        <v>276</v>
      </c>
      <c r="CY110">
        <v>0</v>
      </c>
    </row>
    <row r="111" spans="5:103" x14ac:dyDescent="0.2">
      <c r="E111">
        <v>0</v>
      </c>
      <c r="F111" t="s">
        <v>155</v>
      </c>
      <c r="G111">
        <v>0</v>
      </c>
      <c r="H111" t="s">
        <v>155</v>
      </c>
      <c r="AL111">
        <v>0</v>
      </c>
      <c r="AM111">
        <v>0.3</v>
      </c>
      <c r="AN111">
        <v>0.3</v>
      </c>
      <c r="AO111">
        <v>0.3</v>
      </c>
      <c r="AP111">
        <v>0.1</v>
      </c>
      <c r="AQ111">
        <v>0.3</v>
      </c>
      <c r="AR111">
        <v>0.3</v>
      </c>
      <c r="AS111">
        <v>0.2</v>
      </c>
      <c r="AT111">
        <v>0.2</v>
      </c>
      <c r="AU111">
        <v>0.1</v>
      </c>
      <c r="AV111" t="s">
        <v>275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100</v>
      </c>
      <c r="BC111">
        <v>0</v>
      </c>
      <c r="BD111">
        <v>0</v>
      </c>
      <c r="BE111">
        <v>0</v>
      </c>
      <c r="BF111">
        <v>0</v>
      </c>
      <c r="BG111">
        <v>0</v>
      </c>
      <c r="BH111" t="s">
        <v>270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100</v>
      </c>
      <c r="BO111">
        <v>0</v>
      </c>
      <c r="BP111">
        <v>0</v>
      </c>
      <c r="BQ111">
        <v>0</v>
      </c>
      <c r="BR111">
        <v>0</v>
      </c>
      <c r="BS111">
        <v>0</v>
      </c>
      <c r="BT111" t="s">
        <v>271</v>
      </c>
      <c r="BU111">
        <v>100</v>
      </c>
      <c r="BV111">
        <v>0</v>
      </c>
      <c r="BW111" t="s">
        <v>276</v>
      </c>
      <c r="BX111" t="s">
        <v>272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100</v>
      </c>
      <c r="CE111">
        <v>0</v>
      </c>
      <c r="CF111">
        <v>0</v>
      </c>
      <c r="CG111">
        <v>0</v>
      </c>
      <c r="CH111">
        <v>0</v>
      </c>
      <c r="CI111">
        <v>0</v>
      </c>
      <c r="CJ111" t="s">
        <v>273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100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100</v>
      </c>
      <c r="CW111" t="s">
        <v>274</v>
      </c>
      <c r="CX111" t="s">
        <v>276</v>
      </c>
      <c r="CY111">
        <v>0</v>
      </c>
    </row>
    <row r="112" spans="5:103" x14ac:dyDescent="0.2">
      <c r="E112">
        <v>0</v>
      </c>
      <c r="F112" t="s">
        <v>155</v>
      </c>
      <c r="G112">
        <v>0</v>
      </c>
      <c r="H112" t="s">
        <v>155</v>
      </c>
      <c r="AL112">
        <v>0</v>
      </c>
      <c r="AM112">
        <v>0.3</v>
      </c>
      <c r="AN112">
        <v>0.3</v>
      </c>
      <c r="AO112">
        <v>0.3</v>
      </c>
      <c r="AP112">
        <v>0.1</v>
      </c>
      <c r="AQ112">
        <v>0.3</v>
      </c>
      <c r="AR112">
        <v>0.3</v>
      </c>
      <c r="AS112">
        <v>0.2</v>
      </c>
      <c r="AT112">
        <v>0.2</v>
      </c>
      <c r="AU112">
        <v>0.1</v>
      </c>
      <c r="AV112" t="s">
        <v>275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100</v>
      </c>
      <c r="BC112">
        <v>0</v>
      </c>
      <c r="BD112">
        <v>0</v>
      </c>
      <c r="BE112">
        <v>0</v>
      </c>
      <c r="BF112">
        <v>0</v>
      </c>
      <c r="BG112">
        <v>0</v>
      </c>
      <c r="BH112" t="s">
        <v>270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100</v>
      </c>
      <c r="BO112">
        <v>0</v>
      </c>
      <c r="BP112">
        <v>0</v>
      </c>
      <c r="BQ112">
        <v>0</v>
      </c>
      <c r="BR112">
        <v>0</v>
      </c>
      <c r="BS112">
        <v>0</v>
      </c>
      <c r="BT112" t="s">
        <v>271</v>
      </c>
      <c r="BU112">
        <v>100</v>
      </c>
      <c r="BV112">
        <v>0</v>
      </c>
      <c r="BW112" t="s">
        <v>276</v>
      </c>
      <c r="BX112" t="s">
        <v>272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100</v>
      </c>
      <c r="CE112">
        <v>0</v>
      </c>
      <c r="CF112">
        <v>0</v>
      </c>
      <c r="CG112">
        <v>0</v>
      </c>
      <c r="CH112">
        <v>0</v>
      </c>
      <c r="CI112">
        <v>0</v>
      </c>
      <c r="CJ112" t="s">
        <v>273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100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100</v>
      </c>
      <c r="CW112" t="s">
        <v>274</v>
      </c>
      <c r="CX112" t="s">
        <v>276</v>
      </c>
      <c r="CY112">
        <v>0</v>
      </c>
    </row>
    <row r="113" spans="5:103" x14ac:dyDescent="0.2">
      <c r="E113">
        <v>0</v>
      </c>
      <c r="F113" t="s">
        <v>155</v>
      </c>
      <c r="G113">
        <v>0</v>
      </c>
      <c r="H113" t="s">
        <v>155</v>
      </c>
      <c r="AL113">
        <v>0</v>
      </c>
      <c r="AM113">
        <v>0.3</v>
      </c>
      <c r="AN113">
        <v>0.3</v>
      </c>
      <c r="AO113">
        <v>0.3</v>
      </c>
      <c r="AP113">
        <v>0.1</v>
      </c>
      <c r="AQ113">
        <v>0.3</v>
      </c>
      <c r="AR113">
        <v>0.3</v>
      </c>
      <c r="AS113">
        <v>0.2</v>
      </c>
      <c r="AT113">
        <v>0.2</v>
      </c>
      <c r="AU113">
        <v>0.1</v>
      </c>
      <c r="AV113" t="s">
        <v>275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100</v>
      </c>
      <c r="BC113">
        <v>0</v>
      </c>
      <c r="BD113">
        <v>0</v>
      </c>
      <c r="BE113">
        <v>0</v>
      </c>
      <c r="BF113">
        <v>0</v>
      </c>
      <c r="BG113">
        <v>0</v>
      </c>
      <c r="BH113" t="s">
        <v>270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100</v>
      </c>
      <c r="BO113">
        <v>0</v>
      </c>
      <c r="BP113">
        <v>0</v>
      </c>
      <c r="BQ113">
        <v>0</v>
      </c>
      <c r="BR113">
        <v>0</v>
      </c>
      <c r="BS113">
        <v>0</v>
      </c>
      <c r="BT113" t="s">
        <v>271</v>
      </c>
      <c r="BU113">
        <v>100</v>
      </c>
      <c r="BV113">
        <v>0</v>
      </c>
      <c r="BW113" t="s">
        <v>276</v>
      </c>
      <c r="BX113" t="s">
        <v>272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100</v>
      </c>
      <c r="CE113">
        <v>0</v>
      </c>
      <c r="CF113">
        <v>0</v>
      </c>
      <c r="CG113">
        <v>0</v>
      </c>
      <c r="CH113">
        <v>0</v>
      </c>
      <c r="CI113">
        <v>0</v>
      </c>
      <c r="CJ113" t="s">
        <v>273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100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100</v>
      </c>
      <c r="CW113" t="s">
        <v>274</v>
      </c>
      <c r="CX113" t="s">
        <v>276</v>
      </c>
      <c r="CY113">
        <v>0</v>
      </c>
    </row>
    <row r="114" spans="5:103" x14ac:dyDescent="0.2">
      <c r="E114">
        <v>0</v>
      </c>
      <c r="F114" t="s">
        <v>155</v>
      </c>
      <c r="G114">
        <v>0</v>
      </c>
      <c r="H114" t="s">
        <v>155</v>
      </c>
      <c r="AL114">
        <v>0</v>
      </c>
      <c r="AM114">
        <v>0.3</v>
      </c>
      <c r="AN114">
        <v>0.3</v>
      </c>
      <c r="AO114">
        <v>0.3</v>
      </c>
      <c r="AP114">
        <v>0.1</v>
      </c>
      <c r="AQ114">
        <v>0.3</v>
      </c>
      <c r="AR114">
        <v>0.3</v>
      </c>
      <c r="AS114">
        <v>0.2</v>
      </c>
      <c r="AT114">
        <v>0.2</v>
      </c>
      <c r="AU114">
        <v>0.1</v>
      </c>
      <c r="AV114" t="s">
        <v>275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100</v>
      </c>
      <c r="BC114">
        <v>0</v>
      </c>
      <c r="BD114">
        <v>0</v>
      </c>
      <c r="BE114">
        <v>0</v>
      </c>
      <c r="BF114">
        <v>0</v>
      </c>
      <c r="BG114">
        <v>0</v>
      </c>
      <c r="BH114" t="s">
        <v>270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100</v>
      </c>
      <c r="BO114">
        <v>0</v>
      </c>
      <c r="BP114">
        <v>0</v>
      </c>
      <c r="BQ114">
        <v>0</v>
      </c>
      <c r="BR114">
        <v>0</v>
      </c>
      <c r="BS114">
        <v>0</v>
      </c>
      <c r="BT114" t="s">
        <v>271</v>
      </c>
      <c r="BU114">
        <v>100</v>
      </c>
      <c r="BV114">
        <v>0</v>
      </c>
      <c r="BW114" t="s">
        <v>276</v>
      </c>
      <c r="BX114" t="s">
        <v>272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100</v>
      </c>
      <c r="CE114">
        <v>0</v>
      </c>
      <c r="CF114">
        <v>0</v>
      </c>
      <c r="CG114">
        <v>0</v>
      </c>
      <c r="CH114">
        <v>0</v>
      </c>
      <c r="CI114">
        <v>0</v>
      </c>
      <c r="CJ114" t="s">
        <v>273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100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100</v>
      </c>
      <c r="CW114" t="s">
        <v>274</v>
      </c>
      <c r="CX114" t="s">
        <v>276</v>
      </c>
      <c r="CY114">
        <v>0</v>
      </c>
    </row>
    <row r="115" spans="5:103" x14ac:dyDescent="0.2">
      <c r="E115">
        <v>0</v>
      </c>
      <c r="F115" t="s">
        <v>155</v>
      </c>
      <c r="G115">
        <v>0</v>
      </c>
      <c r="H115" t="s">
        <v>155</v>
      </c>
      <c r="AL115">
        <v>0</v>
      </c>
      <c r="AM115">
        <v>0.3</v>
      </c>
      <c r="AN115">
        <v>0.3</v>
      </c>
      <c r="AO115">
        <v>0.3</v>
      </c>
      <c r="AP115">
        <v>0.1</v>
      </c>
      <c r="AQ115">
        <v>0.3</v>
      </c>
      <c r="AR115">
        <v>0.3</v>
      </c>
      <c r="AS115">
        <v>0.2</v>
      </c>
      <c r="AT115">
        <v>0.2</v>
      </c>
      <c r="AU115">
        <v>0.1</v>
      </c>
      <c r="AV115" t="s">
        <v>275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100</v>
      </c>
      <c r="BC115">
        <v>0</v>
      </c>
      <c r="BD115">
        <v>0</v>
      </c>
      <c r="BE115">
        <v>0</v>
      </c>
      <c r="BF115">
        <v>0</v>
      </c>
      <c r="BG115">
        <v>0</v>
      </c>
      <c r="BH115" t="s">
        <v>270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100</v>
      </c>
      <c r="BO115">
        <v>0</v>
      </c>
      <c r="BP115">
        <v>0</v>
      </c>
      <c r="BQ115">
        <v>0</v>
      </c>
      <c r="BR115">
        <v>0</v>
      </c>
      <c r="BS115">
        <v>0</v>
      </c>
      <c r="BT115" t="s">
        <v>271</v>
      </c>
      <c r="BU115">
        <v>100</v>
      </c>
      <c r="BV115">
        <v>0</v>
      </c>
      <c r="BW115" t="s">
        <v>276</v>
      </c>
      <c r="BX115" t="s">
        <v>272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100</v>
      </c>
      <c r="CE115">
        <v>0</v>
      </c>
      <c r="CF115">
        <v>0</v>
      </c>
      <c r="CG115">
        <v>0</v>
      </c>
      <c r="CH115">
        <v>0</v>
      </c>
      <c r="CI115">
        <v>0</v>
      </c>
      <c r="CJ115" t="s">
        <v>273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100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100</v>
      </c>
      <c r="CW115" t="s">
        <v>274</v>
      </c>
      <c r="CX115" t="s">
        <v>276</v>
      </c>
      <c r="CY115">
        <v>0</v>
      </c>
    </row>
    <row r="116" spans="5:103" x14ac:dyDescent="0.2">
      <c r="E116">
        <v>0</v>
      </c>
      <c r="F116" t="s">
        <v>155</v>
      </c>
      <c r="G116">
        <v>0</v>
      </c>
      <c r="H116" t="s">
        <v>155</v>
      </c>
      <c r="AL116">
        <v>0</v>
      </c>
      <c r="AM116">
        <v>0.3</v>
      </c>
      <c r="AN116">
        <v>0.3</v>
      </c>
      <c r="AO116">
        <v>0.3</v>
      </c>
      <c r="AP116">
        <v>0.1</v>
      </c>
      <c r="AQ116">
        <v>0.3</v>
      </c>
      <c r="AR116">
        <v>0.3</v>
      </c>
      <c r="AS116">
        <v>0.2</v>
      </c>
      <c r="AT116">
        <v>0.2</v>
      </c>
      <c r="AU116">
        <v>0.1</v>
      </c>
      <c r="AV116" t="s">
        <v>275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100</v>
      </c>
      <c r="BC116">
        <v>0</v>
      </c>
      <c r="BD116">
        <v>0</v>
      </c>
      <c r="BE116">
        <v>0</v>
      </c>
      <c r="BF116">
        <v>0</v>
      </c>
      <c r="BG116">
        <v>0</v>
      </c>
      <c r="BH116" t="s">
        <v>270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100</v>
      </c>
      <c r="BO116">
        <v>0</v>
      </c>
      <c r="BP116">
        <v>0</v>
      </c>
      <c r="BQ116">
        <v>0</v>
      </c>
      <c r="BR116">
        <v>0</v>
      </c>
      <c r="BS116">
        <v>0</v>
      </c>
      <c r="BT116" t="s">
        <v>271</v>
      </c>
      <c r="BU116">
        <v>100</v>
      </c>
      <c r="BV116">
        <v>0</v>
      </c>
      <c r="BW116" t="s">
        <v>276</v>
      </c>
      <c r="BX116" t="s">
        <v>272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100</v>
      </c>
      <c r="CE116">
        <v>0</v>
      </c>
      <c r="CF116">
        <v>0</v>
      </c>
      <c r="CG116">
        <v>0</v>
      </c>
      <c r="CH116">
        <v>0</v>
      </c>
      <c r="CI116">
        <v>0</v>
      </c>
      <c r="CJ116" t="s">
        <v>273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100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100</v>
      </c>
      <c r="CW116" t="s">
        <v>274</v>
      </c>
      <c r="CX116" t="s">
        <v>276</v>
      </c>
      <c r="CY116">
        <v>0</v>
      </c>
    </row>
    <row r="117" spans="5:103" x14ac:dyDescent="0.2">
      <c r="E117">
        <v>0</v>
      </c>
      <c r="F117" t="s">
        <v>155</v>
      </c>
      <c r="G117">
        <v>0</v>
      </c>
      <c r="H117" t="s">
        <v>155</v>
      </c>
      <c r="AL117">
        <v>0</v>
      </c>
      <c r="AM117">
        <v>0.3</v>
      </c>
      <c r="AN117">
        <v>0.3</v>
      </c>
      <c r="AO117">
        <v>0.3</v>
      </c>
      <c r="AP117">
        <v>0.1</v>
      </c>
      <c r="AQ117">
        <v>0.3</v>
      </c>
      <c r="AR117">
        <v>0.3</v>
      </c>
      <c r="AS117">
        <v>0.2</v>
      </c>
      <c r="AT117">
        <v>0.2</v>
      </c>
      <c r="AU117">
        <v>0.1</v>
      </c>
      <c r="AV117" t="s">
        <v>275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100</v>
      </c>
      <c r="BC117">
        <v>0</v>
      </c>
      <c r="BD117">
        <v>0</v>
      </c>
      <c r="BE117">
        <v>0</v>
      </c>
      <c r="BF117">
        <v>0</v>
      </c>
      <c r="BG117">
        <v>0</v>
      </c>
      <c r="BH117" t="s">
        <v>270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100</v>
      </c>
      <c r="BO117">
        <v>0</v>
      </c>
      <c r="BP117">
        <v>0</v>
      </c>
      <c r="BQ117">
        <v>0</v>
      </c>
      <c r="BR117">
        <v>0</v>
      </c>
      <c r="BS117">
        <v>0</v>
      </c>
      <c r="BT117" t="s">
        <v>271</v>
      </c>
      <c r="BU117">
        <v>100</v>
      </c>
      <c r="BV117">
        <v>0</v>
      </c>
      <c r="BW117" t="s">
        <v>276</v>
      </c>
      <c r="BX117" t="s">
        <v>272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100</v>
      </c>
      <c r="CE117">
        <v>0</v>
      </c>
      <c r="CF117">
        <v>0</v>
      </c>
      <c r="CG117">
        <v>0</v>
      </c>
      <c r="CH117">
        <v>0</v>
      </c>
      <c r="CI117">
        <v>0</v>
      </c>
      <c r="CJ117" t="s">
        <v>273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100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100</v>
      </c>
      <c r="CW117" t="s">
        <v>274</v>
      </c>
      <c r="CX117" t="s">
        <v>276</v>
      </c>
      <c r="CY117">
        <v>0</v>
      </c>
    </row>
    <row r="118" spans="5:103" x14ac:dyDescent="0.2">
      <c r="E118">
        <v>0</v>
      </c>
      <c r="F118" t="s">
        <v>155</v>
      </c>
      <c r="G118">
        <v>0</v>
      </c>
      <c r="H118" t="s">
        <v>155</v>
      </c>
      <c r="AL118">
        <v>0</v>
      </c>
      <c r="AM118">
        <v>0.3</v>
      </c>
      <c r="AN118">
        <v>0.3</v>
      </c>
      <c r="AO118">
        <v>0.3</v>
      </c>
      <c r="AP118">
        <v>0.1</v>
      </c>
      <c r="AQ118">
        <v>0.3</v>
      </c>
      <c r="AR118">
        <v>0.3</v>
      </c>
      <c r="AS118">
        <v>0.2</v>
      </c>
      <c r="AT118">
        <v>0.2</v>
      </c>
      <c r="AU118">
        <v>0.1</v>
      </c>
      <c r="AV118" t="s">
        <v>275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100</v>
      </c>
      <c r="BC118">
        <v>0</v>
      </c>
      <c r="BD118">
        <v>0</v>
      </c>
      <c r="BE118">
        <v>0</v>
      </c>
      <c r="BF118">
        <v>0</v>
      </c>
      <c r="BG118">
        <v>0</v>
      </c>
      <c r="BH118" t="s">
        <v>270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100</v>
      </c>
      <c r="BO118">
        <v>0</v>
      </c>
      <c r="BP118">
        <v>0</v>
      </c>
      <c r="BQ118">
        <v>0</v>
      </c>
      <c r="BR118">
        <v>0</v>
      </c>
      <c r="BS118">
        <v>0</v>
      </c>
      <c r="BT118" t="s">
        <v>271</v>
      </c>
      <c r="BU118">
        <v>100</v>
      </c>
      <c r="BV118">
        <v>0</v>
      </c>
      <c r="BW118" t="s">
        <v>276</v>
      </c>
      <c r="BX118" t="s">
        <v>272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100</v>
      </c>
      <c r="CE118">
        <v>0</v>
      </c>
      <c r="CF118">
        <v>0</v>
      </c>
      <c r="CG118">
        <v>0</v>
      </c>
      <c r="CH118">
        <v>0</v>
      </c>
      <c r="CI118">
        <v>0</v>
      </c>
      <c r="CJ118" t="s">
        <v>273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100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100</v>
      </c>
      <c r="CW118" t="s">
        <v>274</v>
      </c>
      <c r="CX118" t="s">
        <v>276</v>
      </c>
      <c r="CY118">
        <v>0</v>
      </c>
    </row>
    <row r="119" spans="5:103" x14ac:dyDescent="0.2">
      <c r="E119">
        <v>0</v>
      </c>
      <c r="F119" t="s">
        <v>155</v>
      </c>
      <c r="G119">
        <v>0</v>
      </c>
      <c r="H119" t="s">
        <v>155</v>
      </c>
      <c r="AL119">
        <v>0</v>
      </c>
      <c r="AM119">
        <v>0.3</v>
      </c>
      <c r="AN119">
        <v>0.3</v>
      </c>
      <c r="AO119">
        <v>0.3</v>
      </c>
      <c r="AP119">
        <v>0.1</v>
      </c>
      <c r="AQ119">
        <v>0.3</v>
      </c>
      <c r="AR119">
        <v>0.3</v>
      </c>
      <c r="AS119">
        <v>0.2</v>
      </c>
      <c r="AT119">
        <v>0.2</v>
      </c>
      <c r="AU119">
        <v>0.1</v>
      </c>
      <c r="AV119" t="s">
        <v>275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100</v>
      </c>
      <c r="BC119">
        <v>0</v>
      </c>
      <c r="BD119">
        <v>0</v>
      </c>
      <c r="BE119">
        <v>0</v>
      </c>
      <c r="BF119">
        <v>0</v>
      </c>
      <c r="BG119">
        <v>0</v>
      </c>
      <c r="BH119" t="s">
        <v>270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100</v>
      </c>
      <c r="BO119">
        <v>0</v>
      </c>
      <c r="BP119">
        <v>0</v>
      </c>
      <c r="BQ119">
        <v>0</v>
      </c>
      <c r="BR119">
        <v>0</v>
      </c>
      <c r="BS119">
        <v>0</v>
      </c>
      <c r="BT119" t="s">
        <v>271</v>
      </c>
      <c r="BU119">
        <v>100</v>
      </c>
      <c r="BV119">
        <v>0</v>
      </c>
      <c r="BW119" t="s">
        <v>276</v>
      </c>
      <c r="BX119" t="s">
        <v>272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100</v>
      </c>
      <c r="CE119">
        <v>0</v>
      </c>
      <c r="CF119">
        <v>0</v>
      </c>
      <c r="CG119">
        <v>0</v>
      </c>
      <c r="CH119">
        <v>0</v>
      </c>
      <c r="CI119">
        <v>0</v>
      </c>
      <c r="CJ119" t="s">
        <v>273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100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100</v>
      </c>
      <c r="CW119" t="s">
        <v>274</v>
      </c>
      <c r="CX119" t="s">
        <v>276</v>
      </c>
      <c r="CY119">
        <v>0</v>
      </c>
    </row>
    <row r="120" spans="5:103" x14ac:dyDescent="0.2">
      <c r="E120">
        <v>0</v>
      </c>
      <c r="F120" t="s">
        <v>155</v>
      </c>
      <c r="G120">
        <v>0</v>
      </c>
      <c r="H120" t="s">
        <v>155</v>
      </c>
      <c r="AL120">
        <v>0</v>
      </c>
      <c r="AM120">
        <v>0.3</v>
      </c>
      <c r="AN120">
        <v>0.3</v>
      </c>
      <c r="AO120">
        <v>0.3</v>
      </c>
      <c r="AP120">
        <v>0.1</v>
      </c>
      <c r="AQ120">
        <v>0.3</v>
      </c>
      <c r="AR120">
        <v>0.3</v>
      </c>
      <c r="AS120">
        <v>0.2</v>
      </c>
      <c r="AT120">
        <v>0.2</v>
      </c>
      <c r="AU120">
        <v>0.1</v>
      </c>
      <c r="AV120" t="s">
        <v>275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100</v>
      </c>
      <c r="BC120">
        <v>0</v>
      </c>
      <c r="BD120">
        <v>0</v>
      </c>
      <c r="BE120">
        <v>0</v>
      </c>
      <c r="BF120">
        <v>0</v>
      </c>
      <c r="BG120">
        <v>0</v>
      </c>
      <c r="BH120" t="s">
        <v>270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100</v>
      </c>
      <c r="BO120">
        <v>0</v>
      </c>
      <c r="BP120">
        <v>0</v>
      </c>
      <c r="BQ120">
        <v>0</v>
      </c>
      <c r="BR120">
        <v>0</v>
      </c>
      <c r="BS120">
        <v>0</v>
      </c>
      <c r="BT120" t="s">
        <v>271</v>
      </c>
      <c r="BU120">
        <v>100</v>
      </c>
      <c r="BV120">
        <v>0</v>
      </c>
      <c r="BW120" t="s">
        <v>276</v>
      </c>
      <c r="BX120" t="s">
        <v>272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100</v>
      </c>
      <c r="CE120">
        <v>0</v>
      </c>
      <c r="CF120">
        <v>0</v>
      </c>
      <c r="CG120">
        <v>0</v>
      </c>
      <c r="CH120">
        <v>0</v>
      </c>
      <c r="CI120">
        <v>0</v>
      </c>
      <c r="CJ120" t="s">
        <v>273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100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100</v>
      </c>
      <c r="CW120" t="s">
        <v>274</v>
      </c>
      <c r="CX120" t="s">
        <v>276</v>
      </c>
      <c r="CY120">
        <v>0</v>
      </c>
    </row>
    <row r="121" spans="5:103" x14ac:dyDescent="0.2">
      <c r="E121">
        <v>0</v>
      </c>
      <c r="F121" t="s">
        <v>155</v>
      </c>
      <c r="G121">
        <v>0</v>
      </c>
      <c r="H121" t="s">
        <v>155</v>
      </c>
      <c r="AL121">
        <v>0</v>
      </c>
      <c r="AM121">
        <v>0.3</v>
      </c>
      <c r="AN121">
        <v>0.3</v>
      </c>
      <c r="AO121">
        <v>0.3</v>
      </c>
      <c r="AP121">
        <v>0.1</v>
      </c>
      <c r="AQ121">
        <v>0.3</v>
      </c>
      <c r="AR121">
        <v>0.3</v>
      </c>
      <c r="AS121">
        <v>0.2</v>
      </c>
      <c r="AT121">
        <v>0.2</v>
      </c>
      <c r="AU121">
        <v>0.1</v>
      </c>
      <c r="AV121" t="s">
        <v>275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100</v>
      </c>
      <c r="BC121">
        <v>0</v>
      </c>
      <c r="BD121">
        <v>0</v>
      </c>
      <c r="BE121">
        <v>0</v>
      </c>
      <c r="BF121">
        <v>0</v>
      </c>
      <c r="BG121">
        <v>0</v>
      </c>
      <c r="BH121" t="s">
        <v>270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100</v>
      </c>
      <c r="BO121">
        <v>0</v>
      </c>
      <c r="BP121">
        <v>0</v>
      </c>
      <c r="BQ121">
        <v>0</v>
      </c>
      <c r="BR121">
        <v>0</v>
      </c>
      <c r="BS121">
        <v>0</v>
      </c>
      <c r="BT121" t="s">
        <v>271</v>
      </c>
      <c r="BU121">
        <v>100</v>
      </c>
      <c r="BV121">
        <v>0</v>
      </c>
      <c r="BW121" t="s">
        <v>276</v>
      </c>
      <c r="BX121" t="s">
        <v>272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100</v>
      </c>
      <c r="CE121">
        <v>0</v>
      </c>
      <c r="CF121">
        <v>0</v>
      </c>
      <c r="CG121">
        <v>0</v>
      </c>
      <c r="CH121">
        <v>0</v>
      </c>
      <c r="CI121">
        <v>0</v>
      </c>
      <c r="CJ121" t="s">
        <v>273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100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100</v>
      </c>
      <c r="CW121" t="s">
        <v>274</v>
      </c>
      <c r="CX121" t="s">
        <v>276</v>
      </c>
      <c r="CY121">
        <v>0</v>
      </c>
    </row>
    <row r="122" spans="5:103" x14ac:dyDescent="0.2">
      <c r="E122">
        <v>0</v>
      </c>
      <c r="F122" t="s">
        <v>155</v>
      </c>
      <c r="G122">
        <v>0</v>
      </c>
      <c r="H122" t="s">
        <v>155</v>
      </c>
      <c r="AL122">
        <v>0</v>
      </c>
      <c r="AM122">
        <v>0.3</v>
      </c>
      <c r="AN122">
        <v>0.3</v>
      </c>
      <c r="AO122">
        <v>0.3</v>
      </c>
      <c r="AP122">
        <v>0.1</v>
      </c>
      <c r="AQ122">
        <v>0.3</v>
      </c>
      <c r="AR122">
        <v>0.3</v>
      </c>
      <c r="AS122">
        <v>0.2</v>
      </c>
      <c r="AT122">
        <v>0.2</v>
      </c>
      <c r="AU122">
        <v>0.1</v>
      </c>
      <c r="AV122" t="s">
        <v>275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100</v>
      </c>
      <c r="BC122">
        <v>0</v>
      </c>
      <c r="BD122">
        <v>0</v>
      </c>
      <c r="BE122">
        <v>0</v>
      </c>
      <c r="BF122">
        <v>0</v>
      </c>
      <c r="BG122">
        <v>0</v>
      </c>
      <c r="BH122" t="s">
        <v>270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100</v>
      </c>
      <c r="BO122">
        <v>0</v>
      </c>
      <c r="BP122">
        <v>0</v>
      </c>
      <c r="BQ122">
        <v>0</v>
      </c>
      <c r="BR122">
        <v>0</v>
      </c>
      <c r="BS122">
        <v>0</v>
      </c>
      <c r="BT122" t="s">
        <v>271</v>
      </c>
      <c r="BU122">
        <v>100</v>
      </c>
      <c r="BV122">
        <v>0</v>
      </c>
      <c r="BW122" t="s">
        <v>276</v>
      </c>
      <c r="BX122" t="s">
        <v>272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100</v>
      </c>
      <c r="CE122">
        <v>0</v>
      </c>
      <c r="CF122">
        <v>0</v>
      </c>
      <c r="CG122">
        <v>0</v>
      </c>
      <c r="CH122">
        <v>0</v>
      </c>
      <c r="CI122">
        <v>0</v>
      </c>
      <c r="CJ122" t="s">
        <v>273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100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100</v>
      </c>
      <c r="CW122" t="s">
        <v>274</v>
      </c>
      <c r="CX122" t="s">
        <v>276</v>
      </c>
      <c r="CY122">
        <v>0</v>
      </c>
    </row>
    <row r="123" spans="5:103" x14ac:dyDescent="0.2">
      <c r="E123">
        <v>0</v>
      </c>
      <c r="F123" t="s">
        <v>155</v>
      </c>
      <c r="G123">
        <v>0</v>
      </c>
      <c r="H123" t="s">
        <v>155</v>
      </c>
      <c r="AL123">
        <v>0</v>
      </c>
      <c r="AM123">
        <v>0.3</v>
      </c>
      <c r="AN123">
        <v>0.3</v>
      </c>
      <c r="AO123">
        <v>0.3</v>
      </c>
      <c r="AP123">
        <v>0.1</v>
      </c>
      <c r="AQ123">
        <v>0.3</v>
      </c>
      <c r="AR123">
        <v>0.3</v>
      </c>
      <c r="AS123">
        <v>0.2</v>
      </c>
      <c r="AT123">
        <v>0.2</v>
      </c>
      <c r="AU123">
        <v>0.1</v>
      </c>
      <c r="AV123" t="s">
        <v>275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100</v>
      </c>
      <c r="BC123">
        <v>0</v>
      </c>
      <c r="BD123">
        <v>0</v>
      </c>
      <c r="BE123">
        <v>0</v>
      </c>
      <c r="BF123">
        <v>0</v>
      </c>
      <c r="BG123">
        <v>0</v>
      </c>
      <c r="BH123" t="s">
        <v>270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100</v>
      </c>
      <c r="BO123">
        <v>0</v>
      </c>
      <c r="BP123">
        <v>0</v>
      </c>
      <c r="BQ123">
        <v>0</v>
      </c>
      <c r="BR123">
        <v>0</v>
      </c>
      <c r="BS123">
        <v>0</v>
      </c>
      <c r="BT123" t="s">
        <v>271</v>
      </c>
      <c r="BU123">
        <v>100</v>
      </c>
      <c r="BV123">
        <v>0</v>
      </c>
      <c r="BW123" t="s">
        <v>276</v>
      </c>
      <c r="BX123" t="s">
        <v>272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100</v>
      </c>
      <c r="CE123">
        <v>0</v>
      </c>
      <c r="CF123">
        <v>0</v>
      </c>
      <c r="CG123">
        <v>0</v>
      </c>
      <c r="CH123">
        <v>0</v>
      </c>
      <c r="CI123">
        <v>0</v>
      </c>
      <c r="CJ123" t="s">
        <v>273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100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100</v>
      </c>
      <c r="CW123" t="s">
        <v>274</v>
      </c>
      <c r="CX123" t="s">
        <v>276</v>
      </c>
      <c r="CY123">
        <v>0</v>
      </c>
    </row>
    <row r="124" spans="5:103" x14ac:dyDescent="0.2">
      <c r="E124">
        <v>0</v>
      </c>
      <c r="F124" t="s">
        <v>155</v>
      </c>
      <c r="G124">
        <v>0</v>
      </c>
      <c r="H124" t="s">
        <v>155</v>
      </c>
      <c r="AL124">
        <v>0</v>
      </c>
      <c r="AM124">
        <v>0.3</v>
      </c>
      <c r="AN124">
        <v>0.3</v>
      </c>
      <c r="AO124">
        <v>0.3</v>
      </c>
      <c r="AP124">
        <v>0.1</v>
      </c>
      <c r="AQ124">
        <v>0.3</v>
      </c>
      <c r="AR124">
        <v>0.3</v>
      </c>
      <c r="AS124">
        <v>0.2</v>
      </c>
      <c r="AT124">
        <v>0.2</v>
      </c>
      <c r="AU124">
        <v>0.1</v>
      </c>
      <c r="AV124" t="s">
        <v>275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100</v>
      </c>
      <c r="BC124">
        <v>0</v>
      </c>
      <c r="BD124">
        <v>0</v>
      </c>
      <c r="BE124">
        <v>0</v>
      </c>
      <c r="BF124">
        <v>0</v>
      </c>
      <c r="BG124">
        <v>0</v>
      </c>
      <c r="BH124" t="s">
        <v>270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100</v>
      </c>
      <c r="BO124">
        <v>0</v>
      </c>
      <c r="BP124">
        <v>0</v>
      </c>
      <c r="BQ124">
        <v>0</v>
      </c>
      <c r="BR124">
        <v>0</v>
      </c>
      <c r="BS124">
        <v>0</v>
      </c>
      <c r="BT124" t="s">
        <v>271</v>
      </c>
      <c r="BU124">
        <v>100</v>
      </c>
      <c r="BV124">
        <v>0</v>
      </c>
      <c r="BW124" t="s">
        <v>276</v>
      </c>
      <c r="BX124" t="s">
        <v>272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100</v>
      </c>
      <c r="CE124">
        <v>0</v>
      </c>
      <c r="CF124">
        <v>0</v>
      </c>
      <c r="CG124">
        <v>0</v>
      </c>
      <c r="CH124">
        <v>0</v>
      </c>
      <c r="CI124">
        <v>0</v>
      </c>
      <c r="CJ124" t="s">
        <v>273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100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100</v>
      </c>
      <c r="CW124" t="s">
        <v>274</v>
      </c>
      <c r="CX124" t="s">
        <v>276</v>
      </c>
      <c r="CY124">
        <v>0</v>
      </c>
    </row>
    <row r="125" spans="5:103" x14ac:dyDescent="0.2">
      <c r="E125">
        <v>0</v>
      </c>
      <c r="F125" t="s">
        <v>155</v>
      </c>
      <c r="G125">
        <v>0</v>
      </c>
      <c r="H125" t="s">
        <v>155</v>
      </c>
      <c r="AL125">
        <v>0</v>
      </c>
      <c r="AM125">
        <v>0.3</v>
      </c>
      <c r="AN125">
        <v>0.3</v>
      </c>
      <c r="AO125">
        <v>0.3</v>
      </c>
      <c r="AP125">
        <v>0.1</v>
      </c>
      <c r="AQ125">
        <v>0.3</v>
      </c>
      <c r="AR125">
        <v>0.3</v>
      </c>
      <c r="AS125">
        <v>0.2</v>
      </c>
      <c r="AT125">
        <v>0.2</v>
      </c>
      <c r="AU125">
        <v>0.1</v>
      </c>
      <c r="AV125" t="s">
        <v>275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100</v>
      </c>
      <c r="BC125">
        <v>0</v>
      </c>
      <c r="BD125">
        <v>0</v>
      </c>
      <c r="BE125">
        <v>0</v>
      </c>
      <c r="BF125">
        <v>0</v>
      </c>
      <c r="BG125">
        <v>0</v>
      </c>
      <c r="BH125" t="s">
        <v>270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100</v>
      </c>
      <c r="BO125">
        <v>0</v>
      </c>
      <c r="BP125">
        <v>0</v>
      </c>
      <c r="BQ125">
        <v>0</v>
      </c>
      <c r="BR125">
        <v>0</v>
      </c>
      <c r="BS125">
        <v>0</v>
      </c>
      <c r="BT125" t="s">
        <v>271</v>
      </c>
      <c r="BU125">
        <v>100</v>
      </c>
      <c r="BV125">
        <v>0</v>
      </c>
      <c r="BW125" t="s">
        <v>276</v>
      </c>
      <c r="BX125" t="s">
        <v>272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100</v>
      </c>
      <c r="CE125">
        <v>0</v>
      </c>
      <c r="CF125">
        <v>0</v>
      </c>
      <c r="CG125">
        <v>0</v>
      </c>
      <c r="CH125">
        <v>0</v>
      </c>
      <c r="CI125">
        <v>0</v>
      </c>
      <c r="CJ125" t="s">
        <v>273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100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100</v>
      </c>
      <c r="CW125" t="s">
        <v>274</v>
      </c>
      <c r="CX125" t="s">
        <v>276</v>
      </c>
      <c r="CY125">
        <v>0</v>
      </c>
    </row>
    <row r="126" spans="5:103" x14ac:dyDescent="0.2">
      <c r="E126">
        <v>0</v>
      </c>
      <c r="F126" t="s">
        <v>155</v>
      </c>
      <c r="G126">
        <v>0</v>
      </c>
      <c r="H126" t="s">
        <v>155</v>
      </c>
      <c r="AL126">
        <v>0</v>
      </c>
      <c r="AM126">
        <v>0.3</v>
      </c>
      <c r="AN126">
        <v>0.3</v>
      </c>
      <c r="AO126">
        <v>0.3</v>
      </c>
      <c r="AP126">
        <v>0.1</v>
      </c>
      <c r="AQ126">
        <v>0.3</v>
      </c>
      <c r="AR126">
        <v>0.3</v>
      </c>
      <c r="AS126">
        <v>0.2</v>
      </c>
      <c r="AT126">
        <v>0.2</v>
      </c>
      <c r="AU126">
        <v>0.1</v>
      </c>
      <c r="AV126" t="s">
        <v>275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100</v>
      </c>
      <c r="BC126">
        <v>0</v>
      </c>
      <c r="BD126">
        <v>0</v>
      </c>
      <c r="BE126">
        <v>0</v>
      </c>
      <c r="BF126">
        <v>0</v>
      </c>
      <c r="BG126">
        <v>0</v>
      </c>
      <c r="BH126" t="s">
        <v>270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100</v>
      </c>
      <c r="BO126">
        <v>0</v>
      </c>
      <c r="BP126">
        <v>0</v>
      </c>
      <c r="BQ126">
        <v>0</v>
      </c>
      <c r="BR126">
        <v>0</v>
      </c>
      <c r="BS126">
        <v>0</v>
      </c>
      <c r="BT126" t="s">
        <v>271</v>
      </c>
      <c r="BU126">
        <v>100</v>
      </c>
      <c r="BV126">
        <v>0</v>
      </c>
      <c r="BW126" t="s">
        <v>276</v>
      </c>
      <c r="BX126" t="s">
        <v>272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100</v>
      </c>
      <c r="CE126">
        <v>0</v>
      </c>
      <c r="CF126">
        <v>0</v>
      </c>
      <c r="CG126">
        <v>0</v>
      </c>
      <c r="CH126">
        <v>0</v>
      </c>
      <c r="CI126">
        <v>0</v>
      </c>
      <c r="CJ126" t="s">
        <v>273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100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100</v>
      </c>
      <c r="CW126" t="s">
        <v>274</v>
      </c>
      <c r="CX126" t="s">
        <v>276</v>
      </c>
      <c r="CY126">
        <v>0</v>
      </c>
    </row>
    <row r="127" spans="5:103" x14ac:dyDescent="0.2">
      <c r="E127">
        <v>0</v>
      </c>
      <c r="F127" t="s">
        <v>155</v>
      </c>
      <c r="G127">
        <v>0</v>
      </c>
      <c r="H127" t="s">
        <v>155</v>
      </c>
      <c r="AL127">
        <v>0</v>
      </c>
      <c r="AM127">
        <v>0.3</v>
      </c>
      <c r="AN127">
        <v>0.3</v>
      </c>
      <c r="AO127">
        <v>0.3</v>
      </c>
      <c r="AP127">
        <v>0.1</v>
      </c>
      <c r="AQ127">
        <v>0.3</v>
      </c>
      <c r="AR127">
        <v>0.3</v>
      </c>
      <c r="AS127">
        <v>0.2</v>
      </c>
      <c r="AT127">
        <v>0.2</v>
      </c>
      <c r="AU127">
        <v>0.1</v>
      </c>
      <c r="AV127" t="s">
        <v>275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100</v>
      </c>
      <c r="BC127">
        <v>0</v>
      </c>
      <c r="BD127">
        <v>0</v>
      </c>
      <c r="BE127">
        <v>0</v>
      </c>
      <c r="BF127">
        <v>0</v>
      </c>
      <c r="BG127">
        <v>0</v>
      </c>
      <c r="BH127" t="s">
        <v>270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100</v>
      </c>
      <c r="BO127">
        <v>0</v>
      </c>
      <c r="BP127">
        <v>0</v>
      </c>
      <c r="BQ127">
        <v>0</v>
      </c>
      <c r="BR127">
        <v>0</v>
      </c>
      <c r="BS127">
        <v>0</v>
      </c>
      <c r="BT127" t="s">
        <v>271</v>
      </c>
      <c r="BU127">
        <v>100</v>
      </c>
      <c r="BV127">
        <v>0</v>
      </c>
      <c r="BW127" t="s">
        <v>276</v>
      </c>
      <c r="BX127" t="s">
        <v>272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100</v>
      </c>
      <c r="CE127">
        <v>0</v>
      </c>
      <c r="CF127">
        <v>0</v>
      </c>
      <c r="CG127">
        <v>0</v>
      </c>
      <c r="CH127">
        <v>0</v>
      </c>
      <c r="CI127">
        <v>0</v>
      </c>
      <c r="CJ127" t="s">
        <v>273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100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100</v>
      </c>
      <c r="CW127" t="s">
        <v>274</v>
      </c>
      <c r="CX127" t="s">
        <v>276</v>
      </c>
      <c r="CY127">
        <v>0</v>
      </c>
    </row>
    <row r="128" spans="5:103" x14ac:dyDescent="0.2">
      <c r="E128">
        <v>0</v>
      </c>
      <c r="F128" t="s">
        <v>155</v>
      </c>
      <c r="G128">
        <v>0</v>
      </c>
      <c r="H128" t="s">
        <v>155</v>
      </c>
      <c r="AL128">
        <v>0</v>
      </c>
      <c r="AM128">
        <v>0.3</v>
      </c>
      <c r="AN128">
        <v>0.3</v>
      </c>
      <c r="AO128">
        <v>0.3</v>
      </c>
      <c r="AP128">
        <v>0.1</v>
      </c>
      <c r="AQ128">
        <v>0.3</v>
      </c>
      <c r="AR128">
        <v>0.3</v>
      </c>
      <c r="AS128">
        <v>0.2</v>
      </c>
      <c r="AT128">
        <v>0.2</v>
      </c>
      <c r="AU128">
        <v>0.1</v>
      </c>
      <c r="AV128" t="s">
        <v>275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100</v>
      </c>
      <c r="BC128">
        <v>0</v>
      </c>
      <c r="BD128">
        <v>0</v>
      </c>
      <c r="BE128">
        <v>0</v>
      </c>
      <c r="BF128">
        <v>0</v>
      </c>
      <c r="BG128">
        <v>0</v>
      </c>
      <c r="BH128" t="s">
        <v>270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100</v>
      </c>
      <c r="BO128">
        <v>0</v>
      </c>
      <c r="BP128">
        <v>0</v>
      </c>
      <c r="BQ128">
        <v>0</v>
      </c>
      <c r="BR128">
        <v>0</v>
      </c>
      <c r="BS128">
        <v>0</v>
      </c>
      <c r="BT128" t="s">
        <v>271</v>
      </c>
      <c r="BU128">
        <v>100</v>
      </c>
      <c r="BV128">
        <v>0</v>
      </c>
      <c r="BW128" t="s">
        <v>276</v>
      </c>
      <c r="BX128" t="s">
        <v>272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100</v>
      </c>
      <c r="CE128">
        <v>0</v>
      </c>
      <c r="CF128">
        <v>0</v>
      </c>
      <c r="CG128">
        <v>0</v>
      </c>
      <c r="CH128">
        <v>0</v>
      </c>
      <c r="CI128">
        <v>0</v>
      </c>
      <c r="CJ128" t="s">
        <v>273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100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100</v>
      </c>
      <c r="CW128" t="s">
        <v>274</v>
      </c>
      <c r="CX128" t="s">
        <v>276</v>
      </c>
      <c r="CY128">
        <v>0</v>
      </c>
    </row>
    <row r="129" spans="5:103" x14ac:dyDescent="0.2">
      <c r="E129">
        <v>0</v>
      </c>
      <c r="F129" t="s">
        <v>155</v>
      </c>
      <c r="G129">
        <v>0</v>
      </c>
      <c r="H129" t="s">
        <v>155</v>
      </c>
      <c r="AL129">
        <v>0</v>
      </c>
      <c r="AM129">
        <v>0.3</v>
      </c>
      <c r="AN129">
        <v>0.3</v>
      </c>
      <c r="AO129">
        <v>0.3</v>
      </c>
      <c r="AP129">
        <v>0.1</v>
      </c>
      <c r="AQ129">
        <v>0.3</v>
      </c>
      <c r="AR129">
        <v>0.3</v>
      </c>
      <c r="AS129">
        <v>0.2</v>
      </c>
      <c r="AT129">
        <v>0.2</v>
      </c>
      <c r="AU129">
        <v>0.1</v>
      </c>
      <c r="AV129" t="s">
        <v>275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100</v>
      </c>
      <c r="BC129">
        <v>0</v>
      </c>
      <c r="BD129">
        <v>0</v>
      </c>
      <c r="BE129">
        <v>0</v>
      </c>
      <c r="BF129">
        <v>0</v>
      </c>
      <c r="BG129">
        <v>0</v>
      </c>
      <c r="BH129" t="s">
        <v>270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100</v>
      </c>
      <c r="BO129">
        <v>0</v>
      </c>
      <c r="BP129">
        <v>0</v>
      </c>
      <c r="BQ129">
        <v>0</v>
      </c>
      <c r="BR129">
        <v>0</v>
      </c>
      <c r="BS129">
        <v>0</v>
      </c>
      <c r="BT129" t="s">
        <v>271</v>
      </c>
      <c r="BU129">
        <v>100</v>
      </c>
      <c r="BV129">
        <v>0</v>
      </c>
      <c r="BW129" t="s">
        <v>276</v>
      </c>
      <c r="BX129" t="s">
        <v>272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100</v>
      </c>
      <c r="CE129">
        <v>0</v>
      </c>
      <c r="CF129">
        <v>0</v>
      </c>
      <c r="CG129">
        <v>0</v>
      </c>
      <c r="CH129">
        <v>0</v>
      </c>
      <c r="CI129">
        <v>0</v>
      </c>
      <c r="CJ129" t="s">
        <v>273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100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100</v>
      </c>
      <c r="CW129" t="s">
        <v>274</v>
      </c>
      <c r="CX129" t="s">
        <v>276</v>
      </c>
      <c r="CY129">
        <v>0</v>
      </c>
    </row>
    <row r="130" spans="5:103" x14ac:dyDescent="0.2">
      <c r="E130">
        <v>0</v>
      </c>
      <c r="F130" t="s">
        <v>155</v>
      </c>
      <c r="G130">
        <v>0</v>
      </c>
      <c r="H130" t="s">
        <v>155</v>
      </c>
      <c r="AL130">
        <v>0</v>
      </c>
      <c r="AM130">
        <v>0.3</v>
      </c>
      <c r="AN130">
        <v>0.3</v>
      </c>
      <c r="AO130">
        <v>0.3</v>
      </c>
      <c r="AP130">
        <v>0.1</v>
      </c>
      <c r="AQ130">
        <v>0.3</v>
      </c>
      <c r="AR130">
        <v>0.3</v>
      </c>
      <c r="AS130">
        <v>0.2</v>
      </c>
      <c r="AT130">
        <v>0.2</v>
      </c>
      <c r="AU130">
        <v>0.1</v>
      </c>
      <c r="AV130" t="s">
        <v>275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100</v>
      </c>
      <c r="BC130">
        <v>0</v>
      </c>
      <c r="BD130">
        <v>0</v>
      </c>
      <c r="BE130">
        <v>0</v>
      </c>
      <c r="BF130">
        <v>0</v>
      </c>
      <c r="BG130">
        <v>0</v>
      </c>
      <c r="BH130" t="s">
        <v>270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100</v>
      </c>
      <c r="BO130">
        <v>0</v>
      </c>
      <c r="BP130">
        <v>0</v>
      </c>
      <c r="BQ130">
        <v>0</v>
      </c>
      <c r="BR130">
        <v>0</v>
      </c>
      <c r="BS130">
        <v>0</v>
      </c>
      <c r="BT130" t="s">
        <v>271</v>
      </c>
      <c r="BU130">
        <v>100</v>
      </c>
      <c r="BV130">
        <v>0</v>
      </c>
      <c r="BW130" t="s">
        <v>276</v>
      </c>
      <c r="BX130" t="s">
        <v>272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100</v>
      </c>
      <c r="CE130">
        <v>0</v>
      </c>
      <c r="CF130">
        <v>0</v>
      </c>
      <c r="CG130">
        <v>0</v>
      </c>
      <c r="CH130">
        <v>0</v>
      </c>
      <c r="CI130">
        <v>0</v>
      </c>
      <c r="CJ130" t="s">
        <v>273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100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100</v>
      </c>
      <c r="CW130" t="s">
        <v>274</v>
      </c>
      <c r="CX130" t="s">
        <v>276</v>
      </c>
      <c r="CY130">
        <v>0</v>
      </c>
    </row>
    <row r="131" spans="5:103" x14ac:dyDescent="0.2">
      <c r="E131">
        <v>0</v>
      </c>
      <c r="F131" t="s">
        <v>155</v>
      </c>
      <c r="G131">
        <v>0</v>
      </c>
      <c r="H131" t="s">
        <v>155</v>
      </c>
      <c r="AL131">
        <v>0</v>
      </c>
      <c r="AM131">
        <v>0.3</v>
      </c>
      <c r="AN131">
        <v>0.3</v>
      </c>
      <c r="AO131">
        <v>0.3</v>
      </c>
      <c r="AP131">
        <v>0.1</v>
      </c>
      <c r="AQ131">
        <v>0.3</v>
      </c>
      <c r="AR131">
        <v>0.3</v>
      </c>
      <c r="AS131">
        <v>0.2</v>
      </c>
      <c r="AT131">
        <v>0.2</v>
      </c>
      <c r="AU131">
        <v>0.1</v>
      </c>
      <c r="AV131" t="s">
        <v>275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100</v>
      </c>
      <c r="BC131">
        <v>0</v>
      </c>
      <c r="BD131">
        <v>0</v>
      </c>
      <c r="BE131">
        <v>0</v>
      </c>
      <c r="BF131">
        <v>0</v>
      </c>
      <c r="BG131">
        <v>0</v>
      </c>
      <c r="BH131" t="s">
        <v>270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100</v>
      </c>
      <c r="BO131">
        <v>0</v>
      </c>
      <c r="BP131">
        <v>0</v>
      </c>
      <c r="BQ131">
        <v>0</v>
      </c>
      <c r="BR131">
        <v>0</v>
      </c>
      <c r="BS131">
        <v>0</v>
      </c>
      <c r="BT131" t="s">
        <v>271</v>
      </c>
      <c r="BU131">
        <v>100</v>
      </c>
      <c r="BV131">
        <v>0</v>
      </c>
      <c r="BW131" t="s">
        <v>276</v>
      </c>
      <c r="BX131" t="s">
        <v>272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100</v>
      </c>
      <c r="CE131">
        <v>0</v>
      </c>
      <c r="CF131">
        <v>0</v>
      </c>
      <c r="CG131">
        <v>0</v>
      </c>
      <c r="CH131">
        <v>0</v>
      </c>
      <c r="CI131">
        <v>0</v>
      </c>
      <c r="CJ131" t="s">
        <v>273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100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100</v>
      </c>
      <c r="CW131" t="s">
        <v>274</v>
      </c>
      <c r="CX131" t="s">
        <v>276</v>
      </c>
      <c r="CY131">
        <v>0</v>
      </c>
    </row>
    <row r="132" spans="5:103" x14ac:dyDescent="0.2">
      <c r="E132">
        <v>0</v>
      </c>
      <c r="F132" t="s">
        <v>155</v>
      </c>
      <c r="G132">
        <v>0</v>
      </c>
      <c r="H132" t="s">
        <v>155</v>
      </c>
      <c r="AL132">
        <v>0</v>
      </c>
      <c r="AM132">
        <v>0.3</v>
      </c>
      <c r="AN132">
        <v>0.3</v>
      </c>
      <c r="AO132">
        <v>0.3</v>
      </c>
      <c r="AP132">
        <v>0.1</v>
      </c>
      <c r="AQ132">
        <v>0.3</v>
      </c>
      <c r="AR132">
        <v>0.3</v>
      </c>
      <c r="AS132">
        <v>0.2</v>
      </c>
      <c r="AT132">
        <v>0.2</v>
      </c>
      <c r="AU132">
        <v>0.1</v>
      </c>
      <c r="AV132" t="s">
        <v>275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100</v>
      </c>
      <c r="BC132">
        <v>0</v>
      </c>
      <c r="BD132">
        <v>0</v>
      </c>
      <c r="BE132">
        <v>0</v>
      </c>
      <c r="BF132">
        <v>0</v>
      </c>
      <c r="BG132">
        <v>0</v>
      </c>
      <c r="BH132" t="s">
        <v>270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100</v>
      </c>
      <c r="BO132">
        <v>0</v>
      </c>
      <c r="BP132">
        <v>0</v>
      </c>
      <c r="BQ132">
        <v>0</v>
      </c>
      <c r="BR132">
        <v>0</v>
      </c>
      <c r="BS132">
        <v>0</v>
      </c>
      <c r="BT132" t="s">
        <v>271</v>
      </c>
      <c r="BU132">
        <v>100</v>
      </c>
      <c r="BV132">
        <v>0</v>
      </c>
      <c r="BW132" t="s">
        <v>276</v>
      </c>
      <c r="BX132" t="s">
        <v>272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100</v>
      </c>
      <c r="CE132">
        <v>0</v>
      </c>
      <c r="CF132">
        <v>0</v>
      </c>
      <c r="CG132">
        <v>0</v>
      </c>
      <c r="CH132">
        <v>0</v>
      </c>
      <c r="CI132">
        <v>0</v>
      </c>
      <c r="CJ132" t="s">
        <v>273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100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100</v>
      </c>
      <c r="CW132" t="s">
        <v>274</v>
      </c>
      <c r="CX132" t="s">
        <v>276</v>
      </c>
      <c r="CY132">
        <v>0</v>
      </c>
    </row>
    <row r="133" spans="5:103" x14ac:dyDescent="0.2">
      <c r="E133">
        <v>0</v>
      </c>
      <c r="F133" t="s">
        <v>155</v>
      </c>
      <c r="G133">
        <v>0</v>
      </c>
      <c r="H133" t="s">
        <v>155</v>
      </c>
      <c r="AL133">
        <v>0</v>
      </c>
      <c r="AM133">
        <v>0.3</v>
      </c>
      <c r="AN133">
        <v>0.3</v>
      </c>
      <c r="AO133">
        <v>0.3</v>
      </c>
      <c r="AP133">
        <v>0.1</v>
      </c>
      <c r="AQ133">
        <v>0.3</v>
      </c>
      <c r="AR133">
        <v>0.3</v>
      </c>
      <c r="AS133">
        <v>0.2</v>
      </c>
      <c r="AT133">
        <v>0.2</v>
      </c>
      <c r="AU133">
        <v>0.1</v>
      </c>
      <c r="AV133" t="s">
        <v>275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100</v>
      </c>
      <c r="BC133">
        <v>0</v>
      </c>
      <c r="BD133">
        <v>0</v>
      </c>
      <c r="BE133">
        <v>0</v>
      </c>
      <c r="BF133">
        <v>0</v>
      </c>
      <c r="BG133">
        <v>0</v>
      </c>
      <c r="BH133" t="s">
        <v>270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100</v>
      </c>
      <c r="BO133">
        <v>0</v>
      </c>
      <c r="BP133">
        <v>0</v>
      </c>
      <c r="BQ133">
        <v>0</v>
      </c>
      <c r="BR133">
        <v>0</v>
      </c>
      <c r="BS133">
        <v>0</v>
      </c>
      <c r="BT133" t="s">
        <v>271</v>
      </c>
      <c r="BU133">
        <v>100</v>
      </c>
      <c r="BV133">
        <v>0</v>
      </c>
      <c r="BW133" t="s">
        <v>276</v>
      </c>
      <c r="BX133" t="s">
        <v>272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100</v>
      </c>
      <c r="CE133">
        <v>0</v>
      </c>
      <c r="CF133">
        <v>0</v>
      </c>
      <c r="CG133">
        <v>0</v>
      </c>
      <c r="CH133">
        <v>0</v>
      </c>
      <c r="CI133">
        <v>0</v>
      </c>
      <c r="CJ133" t="s">
        <v>273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100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100</v>
      </c>
      <c r="CW133" t="s">
        <v>274</v>
      </c>
      <c r="CX133" t="s">
        <v>276</v>
      </c>
      <c r="CY133">
        <v>0</v>
      </c>
    </row>
    <row r="134" spans="5:103" x14ac:dyDescent="0.2">
      <c r="E134">
        <v>0</v>
      </c>
      <c r="F134" t="s">
        <v>155</v>
      </c>
      <c r="G134">
        <v>0</v>
      </c>
      <c r="H134" t="s">
        <v>155</v>
      </c>
      <c r="AL134">
        <v>0</v>
      </c>
      <c r="AM134">
        <v>0.3</v>
      </c>
      <c r="AN134">
        <v>0.3</v>
      </c>
      <c r="AO134">
        <v>0.3</v>
      </c>
      <c r="AP134">
        <v>0.1</v>
      </c>
      <c r="AQ134">
        <v>0.3</v>
      </c>
      <c r="AR134">
        <v>0.3</v>
      </c>
      <c r="AS134">
        <v>0.2</v>
      </c>
      <c r="AT134">
        <v>0.2</v>
      </c>
      <c r="AU134">
        <v>0.1</v>
      </c>
      <c r="AV134" t="s">
        <v>275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100</v>
      </c>
      <c r="BC134">
        <v>0</v>
      </c>
      <c r="BD134">
        <v>0</v>
      </c>
      <c r="BE134">
        <v>0</v>
      </c>
      <c r="BF134">
        <v>0</v>
      </c>
      <c r="BG134">
        <v>0</v>
      </c>
      <c r="BH134" t="s">
        <v>270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100</v>
      </c>
      <c r="BO134">
        <v>0</v>
      </c>
      <c r="BP134">
        <v>0</v>
      </c>
      <c r="BQ134">
        <v>0</v>
      </c>
      <c r="BR134">
        <v>0</v>
      </c>
      <c r="BS134">
        <v>0</v>
      </c>
      <c r="BT134" t="s">
        <v>271</v>
      </c>
      <c r="BU134">
        <v>100</v>
      </c>
      <c r="BV134">
        <v>0</v>
      </c>
      <c r="BW134" t="s">
        <v>276</v>
      </c>
      <c r="BX134" t="s">
        <v>272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100</v>
      </c>
      <c r="CE134">
        <v>0</v>
      </c>
      <c r="CF134">
        <v>0</v>
      </c>
      <c r="CG134">
        <v>0</v>
      </c>
      <c r="CH134">
        <v>0</v>
      </c>
      <c r="CI134">
        <v>0</v>
      </c>
      <c r="CJ134" t="s">
        <v>273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100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100</v>
      </c>
      <c r="CW134" t="s">
        <v>274</v>
      </c>
      <c r="CX134" t="s">
        <v>276</v>
      </c>
      <c r="CY134">
        <v>0</v>
      </c>
    </row>
    <row r="135" spans="5:103" x14ac:dyDescent="0.2">
      <c r="E135">
        <v>0</v>
      </c>
      <c r="F135" t="s">
        <v>155</v>
      </c>
      <c r="G135">
        <v>0</v>
      </c>
      <c r="H135" t="s">
        <v>155</v>
      </c>
      <c r="AL135">
        <v>0</v>
      </c>
      <c r="AM135">
        <v>0.3</v>
      </c>
      <c r="AN135">
        <v>0.3</v>
      </c>
      <c r="AO135">
        <v>0.3</v>
      </c>
      <c r="AP135">
        <v>0.1</v>
      </c>
      <c r="AQ135">
        <v>0.3</v>
      </c>
      <c r="AR135">
        <v>0.3</v>
      </c>
      <c r="AS135">
        <v>0.2</v>
      </c>
      <c r="AT135">
        <v>0.2</v>
      </c>
      <c r="AU135">
        <v>0.1</v>
      </c>
      <c r="AV135" t="s">
        <v>275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100</v>
      </c>
      <c r="BC135">
        <v>0</v>
      </c>
      <c r="BD135">
        <v>0</v>
      </c>
      <c r="BE135">
        <v>0</v>
      </c>
      <c r="BF135">
        <v>0</v>
      </c>
      <c r="BG135">
        <v>0</v>
      </c>
      <c r="BH135" t="s">
        <v>270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100</v>
      </c>
      <c r="BO135">
        <v>0</v>
      </c>
      <c r="BP135">
        <v>0</v>
      </c>
      <c r="BQ135">
        <v>0</v>
      </c>
      <c r="BR135">
        <v>0</v>
      </c>
      <c r="BS135">
        <v>0</v>
      </c>
      <c r="BT135" t="s">
        <v>271</v>
      </c>
      <c r="BU135">
        <v>100</v>
      </c>
      <c r="BV135">
        <v>0</v>
      </c>
      <c r="BW135" t="s">
        <v>276</v>
      </c>
      <c r="BX135" t="s">
        <v>272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100</v>
      </c>
      <c r="CE135">
        <v>0</v>
      </c>
      <c r="CF135">
        <v>0</v>
      </c>
      <c r="CG135">
        <v>0</v>
      </c>
      <c r="CH135">
        <v>0</v>
      </c>
      <c r="CI135">
        <v>0</v>
      </c>
      <c r="CJ135" t="s">
        <v>273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100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100</v>
      </c>
      <c r="CW135" t="s">
        <v>274</v>
      </c>
      <c r="CX135" t="s">
        <v>276</v>
      </c>
      <c r="CY135">
        <v>0</v>
      </c>
    </row>
    <row r="136" spans="5:103" x14ac:dyDescent="0.2">
      <c r="E136">
        <v>0</v>
      </c>
      <c r="F136" t="s">
        <v>155</v>
      </c>
      <c r="G136">
        <v>0</v>
      </c>
      <c r="H136" t="s">
        <v>155</v>
      </c>
      <c r="AL136">
        <v>0</v>
      </c>
      <c r="AM136">
        <v>0.3</v>
      </c>
      <c r="AN136">
        <v>0.3</v>
      </c>
      <c r="AO136">
        <v>0.3</v>
      </c>
      <c r="AP136">
        <v>0.1</v>
      </c>
      <c r="AQ136">
        <v>0.3</v>
      </c>
      <c r="AR136">
        <v>0.3</v>
      </c>
      <c r="AS136">
        <v>0.2</v>
      </c>
      <c r="AT136">
        <v>0.2</v>
      </c>
      <c r="AU136">
        <v>0.1</v>
      </c>
      <c r="AV136" t="s">
        <v>275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100</v>
      </c>
      <c r="BC136">
        <v>0</v>
      </c>
      <c r="BD136">
        <v>0</v>
      </c>
      <c r="BE136">
        <v>0</v>
      </c>
      <c r="BF136">
        <v>0</v>
      </c>
      <c r="BG136">
        <v>0</v>
      </c>
      <c r="BH136" t="s">
        <v>270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100</v>
      </c>
      <c r="BO136">
        <v>0</v>
      </c>
      <c r="BP136">
        <v>0</v>
      </c>
      <c r="BQ136">
        <v>0</v>
      </c>
      <c r="BR136">
        <v>0</v>
      </c>
      <c r="BS136">
        <v>0</v>
      </c>
      <c r="BT136" t="s">
        <v>271</v>
      </c>
      <c r="BU136">
        <v>100</v>
      </c>
      <c r="BV136">
        <v>0</v>
      </c>
      <c r="BW136" t="s">
        <v>276</v>
      </c>
      <c r="BX136" t="s">
        <v>272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100</v>
      </c>
      <c r="CE136">
        <v>0</v>
      </c>
      <c r="CF136">
        <v>0</v>
      </c>
      <c r="CG136">
        <v>0</v>
      </c>
      <c r="CH136">
        <v>0</v>
      </c>
      <c r="CI136">
        <v>0</v>
      </c>
      <c r="CJ136" t="s">
        <v>273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100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100</v>
      </c>
      <c r="CW136" t="s">
        <v>274</v>
      </c>
      <c r="CX136" t="s">
        <v>276</v>
      </c>
      <c r="CY136">
        <v>0</v>
      </c>
    </row>
    <row r="137" spans="5:103" x14ac:dyDescent="0.2">
      <c r="E137">
        <v>0</v>
      </c>
      <c r="F137" t="s">
        <v>155</v>
      </c>
      <c r="G137">
        <v>0</v>
      </c>
      <c r="H137" t="s">
        <v>155</v>
      </c>
      <c r="AL137">
        <v>0</v>
      </c>
      <c r="AM137">
        <v>0.3</v>
      </c>
      <c r="AN137">
        <v>0.3</v>
      </c>
      <c r="AO137">
        <v>0.3</v>
      </c>
      <c r="AP137">
        <v>0.1</v>
      </c>
      <c r="AQ137">
        <v>0.3</v>
      </c>
      <c r="AR137">
        <v>0.3</v>
      </c>
      <c r="AS137">
        <v>0.2</v>
      </c>
      <c r="AT137">
        <v>0.2</v>
      </c>
      <c r="AU137">
        <v>0.1</v>
      </c>
      <c r="AV137" t="s">
        <v>275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100</v>
      </c>
      <c r="BC137">
        <v>0</v>
      </c>
      <c r="BD137">
        <v>0</v>
      </c>
      <c r="BE137">
        <v>0</v>
      </c>
      <c r="BF137">
        <v>0</v>
      </c>
      <c r="BG137">
        <v>0</v>
      </c>
      <c r="BH137" t="s">
        <v>270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100</v>
      </c>
      <c r="BO137">
        <v>0</v>
      </c>
      <c r="BP137">
        <v>0</v>
      </c>
      <c r="BQ137">
        <v>0</v>
      </c>
      <c r="BR137">
        <v>0</v>
      </c>
      <c r="BS137">
        <v>0</v>
      </c>
      <c r="BT137" t="s">
        <v>271</v>
      </c>
      <c r="BU137">
        <v>100</v>
      </c>
      <c r="BV137">
        <v>0</v>
      </c>
      <c r="BW137" t="s">
        <v>276</v>
      </c>
      <c r="BX137" t="s">
        <v>272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100</v>
      </c>
      <c r="CE137">
        <v>0</v>
      </c>
      <c r="CF137">
        <v>0</v>
      </c>
      <c r="CG137">
        <v>0</v>
      </c>
      <c r="CH137">
        <v>0</v>
      </c>
      <c r="CI137">
        <v>0</v>
      </c>
      <c r="CJ137" t="s">
        <v>273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100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100</v>
      </c>
      <c r="CW137" t="s">
        <v>274</v>
      </c>
      <c r="CX137" t="s">
        <v>276</v>
      </c>
      <c r="CY137">
        <v>0</v>
      </c>
    </row>
    <row r="138" spans="5:103" x14ac:dyDescent="0.2">
      <c r="E138">
        <v>0</v>
      </c>
      <c r="F138" t="s">
        <v>155</v>
      </c>
      <c r="G138">
        <v>0</v>
      </c>
      <c r="H138" t="s">
        <v>155</v>
      </c>
      <c r="AL138">
        <v>0</v>
      </c>
      <c r="AM138">
        <v>0.3</v>
      </c>
      <c r="AN138">
        <v>0.3</v>
      </c>
      <c r="AO138">
        <v>0.3</v>
      </c>
      <c r="AP138">
        <v>0.1</v>
      </c>
      <c r="AQ138">
        <v>0.3</v>
      </c>
      <c r="AR138">
        <v>0.3</v>
      </c>
      <c r="AS138">
        <v>0.2</v>
      </c>
      <c r="AT138">
        <v>0.2</v>
      </c>
      <c r="AU138">
        <v>0.1</v>
      </c>
      <c r="AV138" t="s">
        <v>275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100</v>
      </c>
      <c r="BC138">
        <v>0</v>
      </c>
      <c r="BD138">
        <v>0</v>
      </c>
      <c r="BE138">
        <v>0</v>
      </c>
      <c r="BF138">
        <v>0</v>
      </c>
      <c r="BG138">
        <v>0</v>
      </c>
      <c r="BH138" t="s">
        <v>270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100</v>
      </c>
      <c r="BO138">
        <v>0</v>
      </c>
      <c r="BP138">
        <v>0</v>
      </c>
      <c r="BQ138">
        <v>0</v>
      </c>
      <c r="BR138">
        <v>0</v>
      </c>
      <c r="BS138">
        <v>0</v>
      </c>
      <c r="BT138" t="s">
        <v>271</v>
      </c>
      <c r="BU138">
        <v>100</v>
      </c>
      <c r="BV138">
        <v>0</v>
      </c>
      <c r="BW138" t="s">
        <v>276</v>
      </c>
      <c r="BX138" t="s">
        <v>272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100</v>
      </c>
      <c r="CE138">
        <v>0</v>
      </c>
      <c r="CF138">
        <v>0</v>
      </c>
      <c r="CG138">
        <v>0</v>
      </c>
      <c r="CH138">
        <v>0</v>
      </c>
      <c r="CI138">
        <v>0</v>
      </c>
      <c r="CJ138" t="s">
        <v>273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100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100</v>
      </c>
      <c r="CW138" t="s">
        <v>274</v>
      </c>
      <c r="CX138" t="s">
        <v>276</v>
      </c>
      <c r="CY138">
        <v>0</v>
      </c>
    </row>
    <row r="139" spans="5:103" x14ac:dyDescent="0.2">
      <c r="E139">
        <v>0</v>
      </c>
      <c r="F139" t="s">
        <v>155</v>
      </c>
      <c r="G139">
        <v>0</v>
      </c>
      <c r="H139" t="s">
        <v>155</v>
      </c>
      <c r="AL139">
        <v>0</v>
      </c>
      <c r="AM139">
        <v>0.3</v>
      </c>
      <c r="AN139">
        <v>0.3</v>
      </c>
      <c r="AO139">
        <v>0.3</v>
      </c>
      <c r="AP139">
        <v>0.1</v>
      </c>
      <c r="AQ139">
        <v>0.3</v>
      </c>
      <c r="AR139">
        <v>0.3</v>
      </c>
      <c r="AS139">
        <v>0.2</v>
      </c>
      <c r="AT139">
        <v>0.2</v>
      </c>
      <c r="AU139">
        <v>0.1</v>
      </c>
      <c r="AV139" t="s">
        <v>275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100</v>
      </c>
      <c r="BC139">
        <v>0</v>
      </c>
      <c r="BD139">
        <v>0</v>
      </c>
      <c r="BE139">
        <v>0</v>
      </c>
      <c r="BF139">
        <v>0</v>
      </c>
      <c r="BG139">
        <v>0</v>
      </c>
      <c r="BH139" t="s">
        <v>270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100</v>
      </c>
      <c r="BO139">
        <v>0</v>
      </c>
      <c r="BP139">
        <v>0</v>
      </c>
      <c r="BQ139">
        <v>0</v>
      </c>
      <c r="BR139">
        <v>0</v>
      </c>
      <c r="BS139">
        <v>0</v>
      </c>
      <c r="BT139" t="s">
        <v>271</v>
      </c>
      <c r="BU139">
        <v>100</v>
      </c>
      <c r="BV139">
        <v>0</v>
      </c>
      <c r="BW139" t="s">
        <v>276</v>
      </c>
      <c r="BX139" t="s">
        <v>272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100</v>
      </c>
      <c r="CE139">
        <v>0</v>
      </c>
      <c r="CF139">
        <v>0</v>
      </c>
      <c r="CG139">
        <v>0</v>
      </c>
      <c r="CH139">
        <v>0</v>
      </c>
      <c r="CI139">
        <v>0</v>
      </c>
      <c r="CJ139" t="s">
        <v>273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100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100</v>
      </c>
      <c r="CW139" t="s">
        <v>274</v>
      </c>
      <c r="CX139" t="s">
        <v>276</v>
      </c>
      <c r="CY139">
        <v>0</v>
      </c>
    </row>
    <row r="140" spans="5:103" x14ac:dyDescent="0.2">
      <c r="E140">
        <v>0</v>
      </c>
      <c r="F140" t="s">
        <v>155</v>
      </c>
      <c r="G140">
        <v>0</v>
      </c>
      <c r="H140" t="s">
        <v>155</v>
      </c>
      <c r="AL140">
        <v>0</v>
      </c>
      <c r="AM140">
        <v>0.3</v>
      </c>
      <c r="AN140">
        <v>0.3</v>
      </c>
      <c r="AO140">
        <v>0.3</v>
      </c>
      <c r="AP140">
        <v>0.1</v>
      </c>
      <c r="AQ140">
        <v>0.3</v>
      </c>
      <c r="AR140">
        <v>0.3</v>
      </c>
      <c r="AS140">
        <v>0.2</v>
      </c>
      <c r="AT140">
        <v>0.2</v>
      </c>
      <c r="AU140">
        <v>0.1</v>
      </c>
      <c r="AV140" t="s">
        <v>275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100</v>
      </c>
      <c r="BC140">
        <v>0</v>
      </c>
      <c r="BD140">
        <v>0</v>
      </c>
      <c r="BE140">
        <v>0</v>
      </c>
      <c r="BF140">
        <v>0</v>
      </c>
      <c r="BG140">
        <v>0</v>
      </c>
      <c r="BH140" t="s">
        <v>270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100</v>
      </c>
      <c r="BO140">
        <v>0</v>
      </c>
      <c r="BP140">
        <v>0</v>
      </c>
      <c r="BQ140">
        <v>0</v>
      </c>
      <c r="BR140">
        <v>0</v>
      </c>
      <c r="BS140">
        <v>0</v>
      </c>
      <c r="BT140" t="s">
        <v>271</v>
      </c>
      <c r="BU140">
        <v>100</v>
      </c>
      <c r="BV140">
        <v>0</v>
      </c>
      <c r="BW140" t="s">
        <v>276</v>
      </c>
      <c r="BX140" t="s">
        <v>272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100</v>
      </c>
      <c r="CE140">
        <v>0</v>
      </c>
      <c r="CF140">
        <v>0</v>
      </c>
      <c r="CG140">
        <v>0</v>
      </c>
      <c r="CH140">
        <v>0</v>
      </c>
      <c r="CI140">
        <v>0</v>
      </c>
      <c r="CJ140" t="s">
        <v>273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100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100</v>
      </c>
      <c r="CW140" t="s">
        <v>274</v>
      </c>
      <c r="CX140" t="s">
        <v>276</v>
      </c>
      <c r="CY140">
        <v>0</v>
      </c>
    </row>
    <row r="141" spans="5:103" x14ac:dyDescent="0.2">
      <c r="E141">
        <v>0</v>
      </c>
      <c r="F141" t="s">
        <v>155</v>
      </c>
      <c r="G141">
        <v>0</v>
      </c>
      <c r="H141" t="s">
        <v>155</v>
      </c>
      <c r="AL141">
        <v>0</v>
      </c>
      <c r="AM141">
        <v>0.3</v>
      </c>
      <c r="AN141">
        <v>0.3</v>
      </c>
      <c r="AO141">
        <v>0.3</v>
      </c>
      <c r="AP141">
        <v>0.1</v>
      </c>
      <c r="AQ141">
        <v>0.3</v>
      </c>
      <c r="AR141">
        <v>0.3</v>
      </c>
      <c r="AS141">
        <v>0.2</v>
      </c>
      <c r="AT141">
        <v>0.2</v>
      </c>
      <c r="AU141">
        <v>0.1</v>
      </c>
      <c r="AV141" t="s">
        <v>275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100</v>
      </c>
      <c r="BC141">
        <v>0</v>
      </c>
      <c r="BD141">
        <v>0</v>
      </c>
      <c r="BE141">
        <v>0</v>
      </c>
      <c r="BF141">
        <v>0</v>
      </c>
      <c r="BG141">
        <v>0</v>
      </c>
      <c r="BH141" t="s">
        <v>270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100</v>
      </c>
      <c r="BO141">
        <v>0</v>
      </c>
      <c r="BP141">
        <v>0</v>
      </c>
      <c r="BQ141">
        <v>0</v>
      </c>
      <c r="BR141">
        <v>0</v>
      </c>
      <c r="BS141">
        <v>0</v>
      </c>
      <c r="BT141" t="s">
        <v>271</v>
      </c>
      <c r="BU141">
        <v>100</v>
      </c>
      <c r="BV141">
        <v>0</v>
      </c>
      <c r="BW141" t="s">
        <v>276</v>
      </c>
      <c r="BX141" t="s">
        <v>272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100</v>
      </c>
      <c r="CE141">
        <v>0</v>
      </c>
      <c r="CF141">
        <v>0</v>
      </c>
      <c r="CG141">
        <v>0</v>
      </c>
      <c r="CH141">
        <v>0</v>
      </c>
      <c r="CI141">
        <v>0</v>
      </c>
      <c r="CJ141" t="s">
        <v>273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100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100</v>
      </c>
      <c r="CW141" t="s">
        <v>274</v>
      </c>
      <c r="CX141" t="s">
        <v>276</v>
      </c>
      <c r="CY141">
        <v>0</v>
      </c>
    </row>
    <row r="142" spans="5:103" x14ac:dyDescent="0.2">
      <c r="E142">
        <v>0</v>
      </c>
      <c r="F142" t="s">
        <v>155</v>
      </c>
      <c r="G142">
        <v>0</v>
      </c>
      <c r="H142" t="s">
        <v>155</v>
      </c>
      <c r="AL142">
        <v>0</v>
      </c>
      <c r="AM142">
        <v>0.3</v>
      </c>
      <c r="AN142">
        <v>0.3</v>
      </c>
      <c r="AO142">
        <v>0.3</v>
      </c>
      <c r="AP142">
        <v>0.1</v>
      </c>
      <c r="AQ142">
        <v>0.3</v>
      </c>
      <c r="AR142">
        <v>0.3</v>
      </c>
      <c r="AS142">
        <v>0.2</v>
      </c>
      <c r="AT142">
        <v>0.2</v>
      </c>
      <c r="AU142">
        <v>0.1</v>
      </c>
      <c r="AV142" t="s">
        <v>275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100</v>
      </c>
      <c r="BC142">
        <v>0</v>
      </c>
      <c r="BD142">
        <v>0</v>
      </c>
      <c r="BE142">
        <v>0</v>
      </c>
      <c r="BF142">
        <v>0</v>
      </c>
      <c r="BG142">
        <v>0</v>
      </c>
      <c r="BH142" t="s">
        <v>270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100</v>
      </c>
      <c r="BO142">
        <v>0</v>
      </c>
      <c r="BP142">
        <v>0</v>
      </c>
      <c r="BQ142">
        <v>0</v>
      </c>
      <c r="BR142">
        <v>0</v>
      </c>
      <c r="BS142">
        <v>0</v>
      </c>
      <c r="BT142" t="s">
        <v>271</v>
      </c>
      <c r="BU142">
        <v>100</v>
      </c>
      <c r="BV142">
        <v>0</v>
      </c>
      <c r="BW142" t="s">
        <v>276</v>
      </c>
      <c r="BX142" t="s">
        <v>272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100</v>
      </c>
      <c r="CE142">
        <v>0</v>
      </c>
      <c r="CF142">
        <v>0</v>
      </c>
      <c r="CG142">
        <v>0</v>
      </c>
      <c r="CH142">
        <v>0</v>
      </c>
      <c r="CI142">
        <v>0</v>
      </c>
      <c r="CJ142" t="s">
        <v>273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100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100</v>
      </c>
      <c r="CW142" t="s">
        <v>274</v>
      </c>
      <c r="CX142" t="s">
        <v>276</v>
      </c>
      <c r="CY142">
        <v>0</v>
      </c>
    </row>
    <row r="143" spans="5:103" x14ac:dyDescent="0.2">
      <c r="E143">
        <v>0</v>
      </c>
      <c r="F143" t="s">
        <v>155</v>
      </c>
      <c r="G143">
        <v>0</v>
      </c>
      <c r="H143" t="s">
        <v>155</v>
      </c>
      <c r="AL143">
        <v>0</v>
      </c>
      <c r="AM143">
        <v>0.3</v>
      </c>
      <c r="AN143">
        <v>0.3</v>
      </c>
      <c r="AO143">
        <v>0.3</v>
      </c>
      <c r="AP143">
        <v>0.1</v>
      </c>
      <c r="AQ143">
        <v>0.3</v>
      </c>
      <c r="AR143">
        <v>0.3</v>
      </c>
      <c r="AS143">
        <v>0.2</v>
      </c>
      <c r="AT143">
        <v>0.2</v>
      </c>
      <c r="AU143">
        <v>0.1</v>
      </c>
      <c r="AV143" t="s">
        <v>275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100</v>
      </c>
      <c r="BC143">
        <v>0</v>
      </c>
      <c r="BD143">
        <v>0</v>
      </c>
      <c r="BE143">
        <v>0</v>
      </c>
      <c r="BF143">
        <v>0</v>
      </c>
      <c r="BG143">
        <v>0</v>
      </c>
      <c r="BH143" t="s">
        <v>270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100</v>
      </c>
      <c r="BO143">
        <v>0</v>
      </c>
      <c r="BP143">
        <v>0</v>
      </c>
      <c r="BQ143">
        <v>0</v>
      </c>
      <c r="BR143">
        <v>0</v>
      </c>
      <c r="BS143">
        <v>0</v>
      </c>
      <c r="BT143" t="s">
        <v>271</v>
      </c>
      <c r="BU143">
        <v>100</v>
      </c>
      <c r="BV143">
        <v>0</v>
      </c>
      <c r="BW143" t="s">
        <v>276</v>
      </c>
      <c r="BX143" t="s">
        <v>272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100</v>
      </c>
      <c r="CE143">
        <v>0</v>
      </c>
      <c r="CF143">
        <v>0</v>
      </c>
      <c r="CG143">
        <v>0</v>
      </c>
      <c r="CH143">
        <v>0</v>
      </c>
      <c r="CI143">
        <v>0</v>
      </c>
      <c r="CJ143" t="s">
        <v>273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100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100</v>
      </c>
      <c r="CW143" t="s">
        <v>274</v>
      </c>
      <c r="CX143" t="s">
        <v>276</v>
      </c>
      <c r="CY143">
        <v>0</v>
      </c>
    </row>
    <row r="144" spans="5:103" x14ac:dyDescent="0.2">
      <c r="E144">
        <v>0</v>
      </c>
      <c r="F144" t="s">
        <v>155</v>
      </c>
      <c r="G144">
        <v>0</v>
      </c>
      <c r="H144" t="s">
        <v>155</v>
      </c>
      <c r="AL144">
        <v>0</v>
      </c>
      <c r="AM144">
        <v>0.3</v>
      </c>
      <c r="AN144">
        <v>0.3</v>
      </c>
      <c r="AO144">
        <v>0.3</v>
      </c>
      <c r="AP144">
        <v>0.1</v>
      </c>
      <c r="AQ144">
        <v>0.3</v>
      </c>
      <c r="AR144">
        <v>0.3</v>
      </c>
      <c r="AS144">
        <v>0.2</v>
      </c>
      <c r="AT144">
        <v>0.2</v>
      </c>
      <c r="AU144">
        <v>0.1</v>
      </c>
      <c r="AV144" t="s">
        <v>275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100</v>
      </c>
      <c r="BC144">
        <v>0</v>
      </c>
      <c r="BD144">
        <v>0</v>
      </c>
      <c r="BE144">
        <v>0</v>
      </c>
      <c r="BF144">
        <v>0</v>
      </c>
      <c r="BG144">
        <v>0</v>
      </c>
      <c r="BH144" t="s">
        <v>270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100</v>
      </c>
      <c r="BO144">
        <v>0</v>
      </c>
      <c r="BP144">
        <v>0</v>
      </c>
      <c r="BQ144">
        <v>0</v>
      </c>
      <c r="BR144">
        <v>0</v>
      </c>
      <c r="BS144">
        <v>0</v>
      </c>
      <c r="BT144" t="s">
        <v>271</v>
      </c>
      <c r="BU144">
        <v>100</v>
      </c>
      <c r="BV144">
        <v>0</v>
      </c>
      <c r="BW144" t="s">
        <v>276</v>
      </c>
      <c r="BX144" t="s">
        <v>272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100</v>
      </c>
      <c r="CE144">
        <v>0</v>
      </c>
      <c r="CF144">
        <v>0</v>
      </c>
      <c r="CG144">
        <v>0</v>
      </c>
      <c r="CH144">
        <v>0</v>
      </c>
      <c r="CI144">
        <v>0</v>
      </c>
      <c r="CJ144" t="s">
        <v>273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100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100</v>
      </c>
      <c r="CW144" t="s">
        <v>274</v>
      </c>
      <c r="CX144" t="s">
        <v>276</v>
      </c>
      <c r="CY144">
        <v>0</v>
      </c>
    </row>
    <row r="145" spans="5:103" x14ac:dyDescent="0.2">
      <c r="E145">
        <v>0</v>
      </c>
      <c r="F145" t="s">
        <v>155</v>
      </c>
      <c r="G145">
        <v>0</v>
      </c>
      <c r="H145" t="s">
        <v>155</v>
      </c>
      <c r="AL145">
        <v>0</v>
      </c>
      <c r="AM145">
        <v>0.3</v>
      </c>
      <c r="AN145">
        <v>0.3</v>
      </c>
      <c r="AO145">
        <v>0.3</v>
      </c>
      <c r="AP145">
        <v>0.1</v>
      </c>
      <c r="AQ145">
        <v>0.3</v>
      </c>
      <c r="AR145">
        <v>0.3</v>
      </c>
      <c r="AS145">
        <v>0.2</v>
      </c>
      <c r="AT145">
        <v>0.2</v>
      </c>
      <c r="AU145">
        <v>0.1</v>
      </c>
      <c r="AV145" t="s">
        <v>275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100</v>
      </c>
      <c r="BC145">
        <v>0</v>
      </c>
      <c r="BD145">
        <v>0</v>
      </c>
      <c r="BE145">
        <v>0</v>
      </c>
      <c r="BF145">
        <v>0</v>
      </c>
      <c r="BG145">
        <v>0</v>
      </c>
      <c r="BH145" t="s">
        <v>270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100</v>
      </c>
      <c r="BO145">
        <v>0</v>
      </c>
      <c r="BP145">
        <v>0</v>
      </c>
      <c r="BQ145">
        <v>0</v>
      </c>
      <c r="BR145">
        <v>0</v>
      </c>
      <c r="BS145">
        <v>0</v>
      </c>
      <c r="BT145" t="s">
        <v>271</v>
      </c>
      <c r="BU145">
        <v>100</v>
      </c>
      <c r="BV145">
        <v>0</v>
      </c>
      <c r="BW145" t="s">
        <v>276</v>
      </c>
      <c r="BX145" t="s">
        <v>272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100</v>
      </c>
      <c r="CE145">
        <v>0</v>
      </c>
      <c r="CF145">
        <v>0</v>
      </c>
      <c r="CG145">
        <v>0</v>
      </c>
      <c r="CH145">
        <v>0</v>
      </c>
      <c r="CI145">
        <v>0</v>
      </c>
      <c r="CJ145" t="s">
        <v>273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100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100</v>
      </c>
      <c r="CW145" t="s">
        <v>274</v>
      </c>
      <c r="CX145" t="s">
        <v>276</v>
      </c>
      <c r="CY145">
        <v>0</v>
      </c>
    </row>
    <row r="146" spans="5:103" x14ac:dyDescent="0.2">
      <c r="E146">
        <v>0</v>
      </c>
      <c r="F146" t="s">
        <v>155</v>
      </c>
      <c r="G146">
        <v>0</v>
      </c>
      <c r="H146" t="s">
        <v>155</v>
      </c>
      <c r="AL146">
        <v>0</v>
      </c>
      <c r="AM146">
        <v>0.3</v>
      </c>
      <c r="AN146">
        <v>0.3</v>
      </c>
      <c r="AO146">
        <v>0.3</v>
      </c>
      <c r="AP146">
        <v>0.1</v>
      </c>
      <c r="AQ146">
        <v>0.3</v>
      </c>
      <c r="AR146">
        <v>0.3</v>
      </c>
      <c r="AS146">
        <v>0.2</v>
      </c>
      <c r="AT146">
        <v>0.2</v>
      </c>
      <c r="AU146">
        <v>0.1</v>
      </c>
      <c r="AV146" t="s">
        <v>275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100</v>
      </c>
      <c r="BC146">
        <v>0</v>
      </c>
      <c r="BD146">
        <v>0</v>
      </c>
      <c r="BE146">
        <v>0</v>
      </c>
      <c r="BF146">
        <v>0</v>
      </c>
      <c r="BG146">
        <v>0</v>
      </c>
      <c r="BH146" t="s">
        <v>270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100</v>
      </c>
      <c r="BO146">
        <v>0</v>
      </c>
      <c r="BP146">
        <v>0</v>
      </c>
      <c r="BQ146">
        <v>0</v>
      </c>
      <c r="BR146">
        <v>0</v>
      </c>
      <c r="BS146">
        <v>0</v>
      </c>
      <c r="BT146" t="s">
        <v>271</v>
      </c>
      <c r="BU146">
        <v>100</v>
      </c>
      <c r="BV146">
        <v>0</v>
      </c>
      <c r="BW146" t="s">
        <v>276</v>
      </c>
      <c r="BX146" t="s">
        <v>272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100</v>
      </c>
      <c r="CE146">
        <v>0</v>
      </c>
      <c r="CF146">
        <v>0</v>
      </c>
      <c r="CG146">
        <v>0</v>
      </c>
      <c r="CH146">
        <v>0</v>
      </c>
      <c r="CI146">
        <v>0</v>
      </c>
      <c r="CJ146" t="s">
        <v>273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100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100</v>
      </c>
      <c r="CW146" t="s">
        <v>274</v>
      </c>
      <c r="CX146" t="s">
        <v>276</v>
      </c>
      <c r="CY146">
        <v>0</v>
      </c>
    </row>
    <row r="147" spans="5:103" x14ac:dyDescent="0.2">
      <c r="E147">
        <v>0</v>
      </c>
      <c r="F147" t="s">
        <v>155</v>
      </c>
      <c r="G147">
        <v>0</v>
      </c>
      <c r="H147" t="s">
        <v>155</v>
      </c>
      <c r="AL147">
        <v>0</v>
      </c>
      <c r="AM147">
        <v>0.3</v>
      </c>
      <c r="AN147">
        <v>0.3</v>
      </c>
      <c r="AO147">
        <v>0.3</v>
      </c>
      <c r="AP147">
        <v>0.1</v>
      </c>
      <c r="AQ147">
        <v>0.3</v>
      </c>
      <c r="AR147">
        <v>0.3</v>
      </c>
      <c r="AS147">
        <v>0.2</v>
      </c>
      <c r="AT147">
        <v>0.2</v>
      </c>
      <c r="AU147">
        <v>0.1</v>
      </c>
      <c r="AV147" t="s">
        <v>275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100</v>
      </c>
      <c r="BC147">
        <v>0</v>
      </c>
      <c r="BD147">
        <v>0</v>
      </c>
      <c r="BE147">
        <v>0</v>
      </c>
      <c r="BF147">
        <v>0</v>
      </c>
      <c r="BG147">
        <v>0</v>
      </c>
      <c r="BH147" t="s">
        <v>270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100</v>
      </c>
      <c r="BO147">
        <v>0</v>
      </c>
      <c r="BP147">
        <v>0</v>
      </c>
      <c r="BQ147">
        <v>0</v>
      </c>
      <c r="BR147">
        <v>0</v>
      </c>
      <c r="BS147">
        <v>0</v>
      </c>
      <c r="BT147" t="s">
        <v>271</v>
      </c>
      <c r="BU147">
        <v>100</v>
      </c>
      <c r="BV147">
        <v>0</v>
      </c>
      <c r="BW147" t="s">
        <v>276</v>
      </c>
      <c r="BX147" t="s">
        <v>272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100</v>
      </c>
      <c r="CE147">
        <v>0</v>
      </c>
      <c r="CF147">
        <v>0</v>
      </c>
      <c r="CG147">
        <v>0</v>
      </c>
      <c r="CH147">
        <v>0</v>
      </c>
      <c r="CI147">
        <v>0</v>
      </c>
      <c r="CJ147" t="s">
        <v>273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100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100</v>
      </c>
      <c r="CW147" t="s">
        <v>274</v>
      </c>
      <c r="CX147" t="s">
        <v>276</v>
      </c>
      <c r="CY147">
        <v>0</v>
      </c>
    </row>
    <row r="148" spans="5:103" x14ac:dyDescent="0.2">
      <c r="E148">
        <v>0</v>
      </c>
      <c r="F148" t="s">
        <v>155</v>
      </c>
      <c r="G148">
        <v>0</v>
      </c>
      <c r="H148" t="s">
        <v>155</v>
      </c>
      <c r="AL148">
        <v>0</v>
      </c>
      <c r="AM148">
        <v>0.3</v>
      </c>
      <c r="AN148">
        <v>0.3</v>
      </c>
      <c r="AO148">
        <v>0.3</v>
      </c>
      <c r="AP148">
        <v>0.1</v>
      </c>
      <c r="AQ148">
        <v>0.3</v>
      </c>
      <c r="AR148">
        <v>0.3</v>
      </c>
      <c r="AS148">
        <v>0.2</v>
      </c>
      <c r="AT148">
        <v>0.2</v>
      </c>
      <c r="AU148">
        <v>0.1</v>
      </c>
      <c r="AV148" t="s">
        <v>275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100</v>
      </c>
      <c r="BC148">
        <v>0</v>
      </c>
      <c r="BD148">
        <v>0</v>
      </c>
      <c r="BE148">
        <v>0</v>
      </c>
      <c r="BF148">
        <v>0</v>
      </c>
      <c r="BG148">
        <v>0</v>
      </c>
      <c r="BH148" t="s">
        <v>270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100</v>
      </c>
      <c r="BO148">
        <v>0</v>
      </c>
      <c r="BP148">
        <v>0</v>
      </c>
      <c r="BQ148">
        <v>0</v>
      </c>
      <c r="BR148">
        <v>0</v>
      </c>
      <c r="BS148">
        <v>0</v>
      </c>
      <c r="BT148" t="s">
        <v>271</v>
      </c>
      <c r="BU148">
        <v>100</v>
      </c>
      <c r="BV148">
        <v>0</v>
      </c>
      <c r="BW148" t="s">
        <v>276</v>
      </c>
      <c r="BX148" t="s">
        <v>272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100</v>
      </c>
      <c r="CE148">
        <v>0</v>
      </c>
      <c r="CF148">
        <v>0</v>
      </c>
      <c r="CG148">
        <v>0</v>
      </c>
      <c r="CH148">
        <v>0</v>
      </c>
      <c r="CI148">
        <v>0</v>
      </c>
      <c r="CJ148" t="s">
        <v>273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100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100</v>
      </c>
      <c r="CW148" t="s">
        <v>274</v>
      </c>
      <c r="CX148" t="s">
        <v>276</v>
      </c>
      <c r="CY148">
        <v>0</v>
      </c>
    </row>
    <row r="149" spans="5:103" x14ac:dyDescent="0.2">
      <c r="E149">
        <v>0</v>
      </c>
      <c r="F149" t="s">
        <v>155</v>
      </c>
      <c r="G149">
        <v>0</v>
      </c>
      <c r="H149" t="s">
        <v>155</v>
      </c>
      <c r="AL149">
        <v>0</v>
      </c>
      <c r="AM149">
        <v>0.3</v>
      </c>
      <c r="AN149">
        <v>0.3</v>
      </c>
      <c r="AO149">
        <v>0.3</v>
      </c>
      <c r="AP149">
        <v>0.1</v>
      </c>
      <c r="AQ149">
        <v>0.3</v>
      </c>
      <c r="AR149">
        <v>0.3</v>
      </c>
      <c r="AS149">
        <v>0.2</v>
      </c>
      <c r="AT149">
        <v>0.2</v>
      </c>
      <c r="AU149">
        <v>0.1</v>
      </c>
      <c r="AV149" t="s">
        <v>275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100</v>
      </c>
      <c r="BC149">
        <v>0</v>
      </c>
      <c r="BD149">
        <v>0</v>
      </c>
      <c r="BE149">
        <v>0</v>
      </c>
      <c r="BF149">
        <v>0</v>
      </c>
      <c r="BG149">
        <v>0</v>
      </c>
      <c r="BH149" t="s">
        <v>270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100</v>
      </c>
      <c r="BO149">
        <v>0</v>
      </c>
      <c r="BP149">
        <v>0</v>
      </c>
      <c r="BQ149">
        <v>0</v>
      </c>
      <c r="BR149">
        <v>0</v>
      </c>
      <c r="BS149">
        <v>0</v>
      </c>
      <c r="BT149" t="s">
        <v>271</v>
      </c>
      <c r="BU149">
        <v>100</v>
      </c>
      <c r="BV149">
        <v>0</v>
      </c>
      <c r="BW149" t="s">
        <v>276</v>
      </c>
      <c r="BX149" t="s">
        <v>272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100</v>
      </c>
      <c r="CE149">
        <v>0</v>
      </c>
      <c r="CF149">
        <v>0</v>
      </c>
      <c r="CG149">
        <v>0</v>
      </c>
      <c r="CH149">
        <v>0</v>
      </c>
      <c r="CI149">
        <v>0</v>
      </c>
      <c r="CJ149" t="s">
        <v>273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100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100</v>
      </c>
      <c r="CW149" t="s">
        <v>274</v>
      </c>
      <c r="CX149" t="s">
        <v>276</v>
      </c>
      <c r="CY149">
        <v>0</v>
      </c>
    </row>
    <row r="150" spans="5:103" x14ac:dyDescent="0.2">
      <c r="E150">
        <v>0</v>
      </c>
      <c r="F150" t="s">
        <v>155</v>
      </c>
      <c r="G150">
        <v>0</v>
      </c>
      <c r="H150" t="s">
        <v>155</v>
      </c>
      <c r="AL150">
        <v>0</v>
      </c>
      <c r="AM150">
        <v>0.3</v>
      </c>
      <c r="AN150">
        <v>0.3</v>
      </c>
      <c r="AO150">
        <v>0.3</v>
      </c>
      <c r="AP150">
        <v>0.1</v>
      </c>
      <c r="AQ150">
        <v>0.3</v>
      </c>
      <c r="AR150">
        <v>0.3</v>
      </c>
      <c r="AS150">
        <v>0.2</v>
      </c>
      <c r="AT150">
        <v>0.2</v>
      </c>
      <c r="AU150">
        <v>0.1</v>
      </c>
      <c r="AV150" t="s">
        <v>275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100</v>
      </c>
      <c r="BC150">
        <v>0</v>
      </c>
      <c r="BD150">
        <v>0</v>
      </c>
      <c r="BE150">
        <v>0</v>
      </c>
      <c r="BF150">
        <v>0</v>
      </c>
      <c r="BG150">
        <v>0</v>
      </c>
      <c r="BH150" t="s">
        <v>270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100</v>
      </c>
      <c r="BO150">
        <v>0</v>
      </c>
      <c r="BP150">
        <v>0</v>
      </c>
      <c r="BQ150">
        <v>0</v>
      </c>
      <c r="BR150">
        <v>0</v>
      </c>
      <c r="BS150">
        <v>0</v>
      </c>
      <c r="BT150" t="s">
        <v>271</v>
      </c>
      <c r="BU150">
        <v>100</v>
      </c>
      <c r="BV150">
        <v>0</v>
      </c>
      <c r="BW150" t="s">
        <v>276</v>
      </c>
      <c r="BX150" t="s">
        <v>272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100</v>
      </c>
      <c r="CE150">
        <v>0</v>
      </c>
      <c r="CF150">
        <v>0</v>
      </c>
      <c r="CG150">
        <v>0</v>
      </c>
      <c r="CH150">
        <v>0</v>
      </c>
      <c r="CI150">
        <v>0</v>
      </c>
      <c r="CJ150" t="s">
        <v>273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100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100</v>
      </c>
      <c r="CW150" t="s">
        <v>274</v>
      </c>
      <c r="CX150" t="s">
        <v>276</v>
      </c>
      <c r="CY150">
        <v>0</v>
      </c>
    </row>
    <row r="151" spans="5:103" x14ac:dyDescent="0.2">
      <c r="E151">
        <v>0</v>
      </c>
      <c r="F151" t="s">
        <v>155</v>
      </c>
      <c r="G151">
        <v>0</v>
      </c>
      <c r="H151" t="s">
        <v>155</v>
      </c>
      <c r="AL151">
        <v>0</v>
      </c>
      <c r="AM151">
        <v>0.3</v>
      </c>
      <c r="AN151">
        <v>0.3</v>
      </c>
      <c r="AO151">
        <v>0.3</v>
      </c>
      <c r="AP151">
        <v>0.1</v>
      </c>
      <c r="AQ151">
        <v>0.3</v>
      </c>
      <c r="AR151">
        <v>0.3</v>
      </c>
      <c r="AS151">
        <v>0.2</v>
      </c>
      <c r="AT151">
        <v>0.2</v>
      </c>
      <c r="AU151">
        <v>0.1</v>
      </c>
      <c r="AV151" t="s">
        <v>275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100</v>
      </c>
      <c r="BC151">
        <v>0</v>
      </c>
      <c r="BD151">
        <v>0</v>
      </c>
      <c r="BE151">
        <v>0</v>
      </c>
      <c r="BF151">
        <v>0</v>
      </c>
      <c r="BG151">
        <v>0</v>
      </c>
      <c r="BH151" t="s">
        <v>270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100</v>
      </c>
      <c r="BO151">
        <v>0</v>
      </c>
      <c r="BP151">
        <v>0</v>
      </c>
      <c r="BQ151">
        <v>0</v>
      </c>
      <c r="BR151">
        <v>0</v>
      </c>
      <c r="BS151">
        <v>0</v>
      </c>
      <c r="BT151" t="s">
        <v>271</v>
      </c>
      <c r="BU151">
        <v>100</v>
      </c>
      <c r="BV151">
        <v>0</v>
      </c>
      <c r="BW151" t="s">
        <v>276</v>
      </c>
      <c r="BX151" t="s">
        <v>272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100</v>
      </c>
      <c r="CE151">
        <v>0</v>
      </c>
      <c r="CF151">
        <v>0</v>
      </c>
      <c r="CG151">
        <v>0</v>
      </c>
      <c r="CH151">
        <v>0</v>
      </c>
      <c r="CI151">
        <v>0</v>
      </c>
      <c r="CJ151" t="s">
        <v>273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100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100</v>
      </c>
      <c r="CW151" t="s">
        <v>274</v>
      </c>
      <c r="CX151" t="s">
        <v>276</v>
      </c>
      <c r="CY151">
        <v>0</v>
      </c>
    </row>
    <row r="152" spans="5:103" x14ac:dyDescent="0.2">
      <c r="E152">
        <v>0</v>
      </c>
      <c r="F152" t="s">
        <v>155</v>
      </c>
      <c r="G152">
        <v>0</v>
      </c>
      <c r="H152" t="s">
        <v>155</v>
      </c>
      <c r="AL152">
        <v>0</v>
      </c>
      <c r="AM152">
        <v>0.3</v>
      </c>
      <c r="AN152">
        <v>0.3</v>
      </c>
      <c r="AO152">
        <v>0.4</v>
      </c>
      <c r="AP152" t="s">
        <v>268</v>
      </c>
      <c r="AQ152">
        <v>0.3</v>
      </c>
      <c r="AR152">
        <v>0.3</v>
      </c>
      <c r="AS152">
        <v>0.2</v>
      </c>
      <c r="AT152">
        <v>0.2</v>
      </c>
      <c r="AU152" t="s">
        <v>268</v>
      </c>
      <c r="AV152" t="s">
        <v>34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100</v>
      </c>
      <c r="BC152">
        <v>0</v>
      </c>
      <c r="BD152">
        <v>0</v>
      </c>
      <c r="BE152">
        <v>0</v>
      </c>
      <c r="BF152">
        <v>0</v>
      </c>
      <c r="BG152">
        <v>0</v>
      </c>
      <c r="BH152" t="s">
        <v>270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100</v>
      </c>
      <c r="BO152">
        <v>0</v>
      </c>
      <c r="BP152">
        <v>0</v>
      </c>
      <c r="BQ152">
        <v>0</v>
      </c>
      <c r="BR152">
        <v>0</v>
      </c>
      <c r="BS152">
        <v>0</v>
      </c>
      <c r="BT152" t="s">
        <v>271</v>
      </c>
      <c r="BU152">
        <v>100</v>
      </c>
      <c r="BV152">
        <v>0</v>
      </c>
      <c r="BW152" t="s">
        <v>268</v>
      </c>
      <c r="BX152" t="s">
        <v>272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100</v>
      </c>
      <c r="CE152">
        <v>0</v>
      </c>
      <c r="CF152">
        <v>0</v>
      </c>
      <c r="CG152">
        <v>0</v>
      </c>
      <c r="CH152">
        <v>0</v>
      </c>
      <c r="CI152">
        <v>0</v>
      </c>
      <c r="CJ152" t="s">
        <v>273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100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100</v>
      </c>
      <c r="CW152" t="s">
        <v>274</v>
      </c>
      <c r="CX152" t="s">
        <v>268</v>
      </c>
      <c r="CY152">
        <v>0</v>
      </c>
    </row>
    <row r="153" spans="5:103" x14ac:dyDescent="0.2">
      <c r="E153">
        <v>0</v>
      </c>
      <c r="F153" t="s">
        <v>155</v>
      </c>
      <c r="G153">
        <v>0</v>
      </c>
      <c r="H153" t="s">
        <v>155</v>
      </c>
      <c r="AL153">
        <v>0</v>
      </c>
      <c r="AM153">
        <v>0.3</v>
      </c>
      <c r="AN153">
        <v>0.3</v>
      </c>
      <c r="AO153">
        <v>0.4</v>
      </c>
      <c r="AP153" t="s">
        <v>268</v>
      </c>
      <c r="AQ153">
        <v>0.3</v>
      </c>
      <c r="AR153">
        <v>0.3</v>
      </c>
      <c r="AS153">
        <v>0.2</v>
      </c>
      <c r="AT153">
        <v>0.2</v>
      </c>
      <c r="AU153" t="s">
        <v>268</v>
      </c>
      <c r="AV153" t="s">
        <v>34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100</v>
      </c>
      <c r="BC153">
        <v>0</v>
      </c>
      <c r="BD153">
        <v>0</v>
      </c>
      <c r="BE153">
        <v>0</v>
      </c>
      <c r="BF153">
        <v>0</v>
      </c>
      <c r="BG153">
        <v>0</v>
      </c>
      <c r="BH153" t="s">
        <v>270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100</v>
      </c>
      <c r="BO153">
        <v>0</v>
      </c>
      <c r="BP153">
        <v>0</v>
      </c>
      <c r="BQ153">
        <v>0</v>
      </c>
      <c r="BR153">
        <v>0</v>
      </c>
      <c r="BS153">
        <v>0</v>
      </c>
      <c r="BT153" t="s">
        <v>271</v>
      </c>
      <c r="BU153">
        <v>100</v>
      </c>
      <c r="BV153">
        <v>0</v>
      </c>
      <c r="BW153" t="s">
        <v>268</v>
      </c>
      <c r="BX153" t="s">
        <v>272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100</v>
      </c>
      <c r="CE153">
        <v>0</v>
      </c>
      <c r="CF153">
        <v>0</v>
      </c>
      <c r="CG153">
        <v>0</v>
      </c>
      <c r="CH153">
        <v>0</v>
      </c>
      <c r="CI153">
        <v>0</v>
      </c>
      <c r="CJ153" t="s">
        <v>273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100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100</v>
      </c>
      <c r="CW153" t="s">
        <v>274</v>
      </c>
      <c r="CX153" t="s">
        <v>268</v>
      </c>
      <c r="CY153">
        <v>0</v>
      </c>
    </row>
    <row r="154" spans="5:103" x14ac:dyDescent="0.2">
      <c r="E154">
        <v>0</v>
      </c>
      <c r="F154" t="s">
        <v>155</v>
      </c>
      <c r="G154">
        <v>0</v>
      </c>
      <c r="H154" t="s">
        <v>155</v>
      </c>
      <c r="AL154">
        <v>0</v>
      </c>
      <c r="AM154">
        <v>0.3</v>
      </c>
      <c r="AN154">
        <v>0.3</v>
      </c>
      <c r="AO154">
        <v>0.4</v>
      </c>
      <c r="AP154" t="s">
        <v>268</v>
      </c>
      <c r="AQ154">
        <v>0.3</v>
      </c>
      <c r="AR154">
        <v>0.3</v>
      </c>
      <c r="AS154">
        <v>0.2</v>
      </c>
      <c r="AT154">
        <v>0.2</v>
      </c>
      <c r="AU154" t="s">
        <v>268</v>
      </c>
      <c r="AV154" t="s">
        <v>34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100</v>
      </c>
      <c r="BC154">
        <v>0</v>
      </c>
      <c r="BD154">
        <v>0</v>
      </c>
      <c r="BE154">
        <v>0</v>
      </c>
      <c r="BF154">
        <v>0</v>
      </c>
      <c r="BG154">
        <v>0</v>
      </c>
      <c r="BH154" t="s">
        <v>270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100</v>
      </c>
      <c r="BO154">
        <v>0</v>
      </c>
      <c r="BP154">
        <v>0</v>
      </c>
      <c r="BQ154">
        <v>0</v>
      </c>
      <c r="BR154">
        <v>0</v>
      </c>
      <c r="BS154">
        <v>0</v>
      </c>
      <c r="BT154" t="s">
        <v>271</v>
      </c>
      <c r="BU154">
        <v>100</v>
      </c>
      <c r="BV154">
        <v>0</v>
      </c>
      <c r="BW154" t="s">
        <v>268</v>
      </c>
      <c r="BX154" t="s">
        <v>272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100</v>
      </c>
      <c r="CE154">
        <v>0</v>
      </c>
      <c r="CF154">
        <v>0</v>
      </c>
      <c r="CG154">
        <v>0</v>
      </c>
      <c r="CH154">
        <v>0</v>
      </c>
      <c r="CI154">
        <v>0</v>
      </c>
      <c r="CJ154" t="s">
        <v>273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100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100</v>
      </c>
      <c r="CW154" t="s">
        <v>274</v>
      </c>
      <c r="CX154" t="s">
        <v>268</v>
      </c>
      <c r="CY154">
        <v>0</v>
      </c>
    </row>
    <row r="155" spans="5:103" x14ac:dyDescent="0.2">
      <c r="E155">
        <v>0</v>
      </c>
      <c r="F155" t="s">
        <v>155</v>
      </c>
      <c r="G155">
        <v>0</v>
      </c>
      <c r="H155" t="s">
        <v>155</v>
      </c>
      <c r="AL155">
        <v>0</v>
      </c>
      <c r="AM155">
        <v>0.3</v>
      </c>
      <c r="AN155">
        <v>0.3</v>
      </c>
      <c r="AO155">
        <v>0.4</v>
      </c>
      <c r="AP155" t="s">
        <v>268</v>
      </c>
      <c r="AQ155">
        <v>0.3</v>
      </c>
      <c r="AR155">
        <v>0.3</v>
      </c>
      <c r="AS155">
        <v>0.2</v>
      </c>
      <c r="AT155">
        <v>0.2</v>
      </c>
      <c r="AU155" t="s">
        <v>268</v>
      </c>
      <c r="AV155" t="s">
        <v>34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100</v>
      </c>
      <c r="BC155">
        <v>0</v>
      </c>
      <c r="BD155">
        <v>0</v>
      </c>
      <c r="BE155">
        <v>0</v>
      </c>
      <c r="BF155">
        <v>0</v>
      </c>
      <c r="BG155">
        <v>0</v>
      </c>
      <c r="BH155" t="s">
        <v>270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100</v>
      </c>
      <c r="BO155">
        <v>0</v>
      </c>
      <c r="BP155">
        <v>0</v>
      </c>
      <c r="BQ155">
        <v>0</v>
      </c>
      <c r="BR155">
        <v>0</v>
      </c>
      <c r="BS155">
        <v>0</v>
      </c>
      <c r="BT155" t="s">
        <v>271</v>
      </c>
      <c r="BU155">
        <v>100</v>
      </c>
      <c r="BV155">
        <v>0</v>
      </c>
      <c r="BW155" t="s">
        <v>268</v>
      </c>
      <c r="BX155" t="s">
        <v>272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100</v>
      </c>
      <c r="CE155">
        <v>0</v>
      </c>
      <c r="CF155">
        <v>0</v>
      </c>
      <c r="CG155">
        <v>0</v>
      </c>
      <c r="CH155">
        <v>0</v>
      </c>
      <c r="CI155">
        <v>0</v>
      </c>
      <c r="CJ155" t="s">
        <v>273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100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100</v>
      </c>
      <c r="CW155" t="s">
        <v>274</v>
      </c>
      <c r="CX155" t="s">
        <v>268</v>
      </c>
      <c r="CY155">
        <v>0</v>
      </c>
    </row>
    <row r="156" spans="5:103" x14ac:dyDescent="0.2">
      <c r="E156">
        <v>0</v>
      </c>
      <c r="F156" t="s">
        <v>155</v>
      </c>
      <c r="G156">
        <v>0</v>
      </c>
      <c r="H156" t="s">
        <v>155</v>
      </c>
      <c r="AL156">
        <v>0</v>
      </c>
      <c r="AM156">
        <v>0.3</v>
      </c>
      <c r="AN156">
        <v>0.3</v>
      </c>
      <c r="AO156">
        <v>0.4</v>
      </c>
      <c r="AP156" t="s">
        <v>268</v>
      </c>
      <c r="AQ156">
        <v>0.3</v>
      </c>
      <c r="AR156">
        <v>0.3</v>
      </c>
      <c r="AS156">
        <v>0.2</v>
      </c>
      <c r="AT156">
        <v>0.2</v>
      </c>
      <c r="AU156" t="s">
        <v>268</v>
      </c>
      <c r="AV156" t="s">
        <v>34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100</v>
      </c>
      <c r="BC156">
        <v>0</v>
      </c>
      <c r="BD156">
        <v>0</v>
      </c>
      <c r="BE156">
        <v>0</v>
      </c>
      <c r="BF156">
        <v>0</v>
      </c>
      <c r="BG156">
        <v>0</v>
      </c>
      <c r="BH156" t="s">
        <v>270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100</v>
      </c>
      <c r="BO156">
        <v>0</v>
      </c>
      <c r="BP156">
        <v>0</v>
      </c>
      <c r="BQ156">
        <v>0</v>
      </c>
      <c r="BR156">
        <v>0</v>
      </c>
      <c r="BS156">
        <v>0</v>
      </c>
      <c r="BT156" t="s">
        <v>271</v>
      </c>
      <c r="BU156">
        <v>100</v>
      </c>
      <c r="BV156">
        <v>0</v>
      </c>
      <c r="BW156" t="s">
        <v>268</v>
      </c>
      <c r="BX156" t="s">
        <v>272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100</v>
      </c>
      <c r="CE156">
        <v>0</v>
      </c>
      <c r="CF156">
        <v>0</v>
      </c>
      <c r="CG156">
        <v>0</v>
      </c>
      <c r="CH156">
        <v>0</v>
      </c>
      <c r="CI156">
        <v>0</v>
      </c>
      <c r="CJ156" t="s">
        <v>273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100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100</v>
      </c>
      <c r="CW156" t="s">
        <v>274</v>
      </c>
      <c r="CX156" t="s">
        <v>268</v>
      </c>
      <c r="CY156">
        <v>0</v>
      </c>
    </row>
    <row r="157" spans="5:103" x14ac:dyDescent="0.2">
      <c r="E157">
        <v>0</v>
      </c>
      <c r="F157" t="s">
        <v>155</v>
      </c>
      <c r="G157">
        <v>0</v>
      </c>
      <c r="H157" t="s">
        <v>155</v>
      </c>
      <c r="AL157">
        <v>0</v>
      </c>
      <c r="AM157">
        <v>0.3</v>
      </c>
      <c r="AN157">
        <v>0.3</v>
      </c>
      <c r="AO157">
        <v>0.4</v>
      </c>
      <c r="AP157" t="s">
        <v>268</v>
      </c>
      <c r="AQ157">
        <v>0.3</v>
      </c>
      <c r="AR157">
        <v>0.3</v>
      </c>
      <c r="AS157">
        <v>0.2</v>
      </c>
      <c r="AT157">
        <v>0.2</v>
      </c>
      <c r="AU157" t="s">
        <v>268</v>
      </c>
      <c r="AV157" t="s">
        <v>34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100</v>
      </c>
      <c r="BC157">
        <v>0</v>
      </c>
      <c r="BD157">
        <v>0</v>
      </c>
      <c r="BE157">
        <v>0</v>
      </c>
      <c r="BF157">
        <v>0</v>
      </c>
      <c r="BG157">
        <v>0</v>
      </c>
      <c r="BH157" t="s">
        <v>270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100</v>
      </c>
      <c r="BO157">
        <v>0</v>
      </c>
      <c r="BP157">
        <v>0</v>
      </c>
      <c r="BQ157">
        <v>0</v>
      </c>
      <c r="BR157">
        <v>0</v>
      </c>
      <c r="BS157">
        <v>0</v>
      </c>
      <c r="BT157" t="s">
        <v>271</v>
      </c>
      <c r="BU157">
        <v>100</v>
      </c>
      <c r="BV157">
        <v>0</v>
      </c>
      <c r="BW157" t="s">
        <v>268</v>
      </c>
      <c r="BX157" t="s">
        <v>272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100</v>
      </c>
      <c r="CE157">
        <v>0</v>
      </c>
      <c r="CF157">
        <v>0</v>
      </c>
      <c r="CG157">
        <v>0</v>
      </c>
      <c r="CH157">
        <v>0</v>
      </c>
      <c r="CI157">
        <v>0</v>
      </c>
      <c r="CJ157" t="s">
        <v>273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100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100</v>
      </c>
      <c r="CW157" t="s">
        <v>274</v>
      </c>
      <c r="CX157" t="s">
        <v>268</v>
      </c>
      <c r="CY157">
        <v>0</v>
      </c>
    </row>
    <row r="158" spans="5:103" x14ac:dyDescent="0.2">
      <c r="E158">
        <v>0</v>
      </c>
      <c r="F158" t="s">
        <v>155</v>
      </c>
      <c r="G158">
        <v>0</v>
      </c>
      <c r="H158" t="s">
        <v>155</v>
      </c>
      <c r="AL158">
        <v>0</v>
      </c>
      <c r="AM158">
        <v>0.3</v>
      </c>
      <c r="AN158">
        <v>0.3</v>
      </c>
      <c r="AO158">
        <v>0.4</v>
      </c>
      <c r="AP158" t="s">
        <v>268</v>
      </c>
      <c r="AQ158">
        <v>0.3</v>
      </c>
      <c r="AR158">
        <v>0.3</v>
      </c>
      <c r="AS158">
        <v>0.2</v>
      </c>
      <c r="AT158">
        <v>0.2</v>
      </c>
      <c r="AU158" t="s">
        <v>268</v>
      </c>
      <c r="AV158" t="s">
        <v>34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100</v>
      </c>
      <c r="BC158">
        <v>0</v>
      </c>
      <c r="BD158">
        <v>0</v>
      </c>
      <c r="BE158">
        <v>0</v>
      </c>
      <c r="BF158">
        <v>0</v>
      </c>
      <c r="BG158">
        <v>0</v>
      </c>
      <c r="BH158" t="s">
        <v>270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100</v>
      </c>
      <c r="BO158">
        <v>0</v>
      </c>
      <c r="BP158">
        <v>0</v>
      </c>
      <c r="BQ158">
        <v>0</v>
      </c>
      <c r="BR158">
        <v>0</v>
      </c>
      <c r="BS158">
        <v>0</v>
      </c>
      <c r="BT158" t="s">
        <v>271</v>
      </c>
      <c r="BU158">
        <v>100</v>
      </c>
      <c r="BV158">
        <v>0</v>
      </c>
      <c r="BW158" t="s">
        <v>268</v>
      </c>
      <c r="BX158" t="s">
        <v>272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100</v>
      </c>
      <c r="CE158">
        <v>0</v>
      </c>
      <c r="CF158">
        <v>0</v>
      </c>
      <c r="CG158">
        <v>0</v>
      </c>
      <c r="CH158">
        <v>0</v>
      </c>
      <c r="CI158">
        <v>0</v>
      </c>
      <c r="CJ158" t="s">
        <v>273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100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100</v>
      </c>
      <c r="CW158" t="s">
        <v>274</v>
      </c>
      <c r="CX158" t="s">
        <v>268</v>
      </c>
      <c r="CY158">
        <v>0</v>
      </c>
    </row>
    <row r="159" spans="5:103" x14ac:dyDescent="0.2">
      <c r="E159">
        <v>0</v>
      </c>
      <c r="F159" t="s">
        <v>155</v>
      </c>
      <c r="G159">
        <v>0</v>
      </c>
      <c r="H159" t="s">
        <v>155</v>
      </c>
      <c r="AL159">
        <v>0</v>
      </c>
      <c r="AM159">
        <v>0.3</v>
      </c>
      <c r="AN159">
        <v>0.3</v>
      </c>
      <c r="AO159">
        <v>0.4</v>
      </c>
      <c r="AP159" t="s">
        <v>268</v>
      </c>
      <c r="AQ159">
        <v>0.3</v>
      </c>
      <c r="AR159">
        <v>0.3</v>
      </c>
      <c r="AS159">
        <v>0.2</v>
      </c>
      <c r="AT159">
        <v>0.2</v>
      </c>
      <c r="AU159" t="s">
        <v>268</v>
      </c>
      <c r="AV159" t="s">
        <v>34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100</v>
      </c>
      <c r="BC159">
        <v>0</v>
      </c>
      <c r="BD159">
        <v>0</v>
      </c>
      <c r="BE159">
        <v>0</v>
      </c>
      <c r="BF159">
        <v>0</v>
      </c>
      <c r="BG159">
        <v>0</v>
      </c>
      <c r="BH159" t="s">
        <v>270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100</v>
      </c>
      <c r="BO159">
        <v>0</v>
      </c>
      <c r="BP159">
        <v>0</v>
      </c>
      <c r="BQ159">
        <v>0</v>
      </c>
      <c r="BR159">
        <v>0</v>
      </c>
      <c r="BS159">
        <v>0</v>
      </c>
      <c r="BT159" t="s">
        <v>271</v>
      </c>
      <c r="BU159">
        <v>100</v>
      </c>
      <c r="BV159">
        <v>0</v>
      </c>
      <c r="BW159" t="s">
        <v>268</v>
      </c>
      <c r="BX159" t="s">
        <v>272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100</v>
      </c>
      <c r="CE159">
        <v>0</v>
      </c>
      <c r="CF159">
        <v>0</v>
      </c>
      <c r="CG159">
        <v>0</v>
      </c>
      <c r="CH159">
        <v>0</v>
      </c>
      <c r="CI159">
        <v>0</v>
      </c>
      <c r="CJ159" t="s">
        <v>273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100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100</v>
      </c>
      <c r="CW159" t="s">
        <v>274</v>
      </c>
      <c r="CX159" t="s">
        <v>268</v>
      </c>
      <c r="CY159">
        <v>0</v>
      </c>
    </row>
    <row r="160" spans="5:103" x14ac:dyDescent="0.2">
      <c r="E160">
        <v>0</v>
      </c>
      <c r="F160" t="s">
        <v>155</v>
      </c>
      <c r="G160">
        <v>0</v>
      </c>
      <c r="H160" t="s">
        <v>155</v>
      </c>
      <c r="AL160">
        <v>0</v>
      </c>
      <c r="AM160">
        <v>0.3</v>
      </c>
      <c r="AN160">
        <v>0.3</v>
      </c>
      <c r="AO160">
        <v>0.4</v>
      </c>
      <c r="AP160" t="s">
        <v>268</v>
      </c>
      <c r="AQ160">
        <v>0.3</v>
      </c>
      <c r="AR160">
        <v>0.3</v>
      </c>
      <c r="AS160">
        <v>0.2</v>
      </c>
      <c r="AT160">
        <v>0.2</v>
      </c>
      <c r="AU160" t="s">
        <v>268</v>
      </c>
      <c r="AV160" t="s">
        <v>34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100</v>
      </c>
      <c r="BC160">
        <v>0</v>
      </c>
      <c r="BD160">
        <v>0</v>
      </c>
      <c r="BE160">
        <v>0</v>
      </c>
      <c r="BF160">
        <v>0</v>
      </c>
      <c r="BG160">
        <v>0</v>
      </c>
      <c r="BH160" t="s">
        <v>270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100</v>
      </c>
      <c r="BO160">
        <v>0</v>
      </c>
      <c r="BP160">
        <v>0</v>
      </c>
      <c r="BQ160">
        <v>0</v>
      </c>
      <c r="BR160">
        <v>0</v>
      </c>
      <c r="BS160">
        <v>0</v>
      </c>
      <c r="BT160" t="s">
        <v>271</v>
      </c>
      <c r="BU160">
        <v>100</v>
      </c>
      <c r="BV160">
        <v>0</v>
      </c>
      <c r="BW160" t="s">
        <v>268</v>
      </c>
      <c r="BX160" t="s">
        <v>272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100</v>
      </c>
      <c r="CE160">
        <v>0</v>
      </c>
      <c r="CF160">
        <v>0</v>
      </c>
      <c r="CG160">
        <v>0</v>
      </c>
      <c r="CH160">
        <v>0</v>
      </c>
      <c r="CI160">
        <v>0</v>
      </c>
      <c r="CJ160" t="s">
        <v>273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100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100</v>
      </c>
      <c r="CW160" t="s">
        <v>274</v>
      </c>
      <c r="CX160" t="s">
        <v>268</v>
      </c>
      <c r="CY160">
        <v>0</v>
      </c>
    </row>
    <row r="161" spans="5:103" x14ac:dyDescent="0.2">
      <c r="E161">
        <v>0</v>
      </c>
      <c r="F161" t="s">
        <v>155</v>
      </c>
      <c r="G161">
        <v>0</v>
      </c>
      <c r="H161" t="s">
        <v>155</v>
      </c>
      <c r="AL161">
        <v>0</v>
      </c>
      <c r="AM161">
        <v>0.3</v>
      </c>
      <c r="AN161">
        <v>0.3</v>
      </c>
      <c r="AO161">
        <v>0.4</v>
      </c>
      <c r="AP161" t="s">
        <v>268</v>
      </c>
      <c r="AQ161">
        <v>0.3</v>
      </c>
      <c r="AR161">
        <v>0.3</v>
      </c>
      <c r="AS161">
        <v>0.2</v>
      </c>
      <c r="AT161">
        <v>0.2</v>
      </c>
      <c r="AU161" t="s">
        <v>268</v>
      </c>
      <c r="AV161" t="s">
        <v>34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100</v>
      </c>
      <c r="BC161">
        <v>0</v>
      </c>
      <c r="BD161">
        <v>0</v>
      </c>
      <c r="BE161">
        <v>0</v>
      </c>
      <c r="BF161">
        <v>0</v>
      </c>
      <c r="BG161">
        <v>0</v>
      </c>
      <c r="BH161" t="s">
        <v>270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100</v>
      </c>
      <c r="BO161">
        <v>0</v>
      </c>
      <c r="BP161">
        <v>0</v>
      </c>
      <c r="BQ161">
        <v>0</v>
      </c>
      <c r="BR161">
        <v>0</v>
      </c>
      <c r="BS161">
        <v>0</v>
      </c>
      <c r="BT161" t="s">
        <v>271</v>
      </c>
      <c r="BU161">
        <v>100</v>
      </c>
      <c r="BV161">
        <v>0</v>
      </c>
      <c r="BW161" t="s">
        <v>268</v>
      </c>
      <c r="BX161" t="s">
        <v>272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100</v>
      </c>
      <c r="CE161">
        <v>0</v>
      </c>
      <c r="CF161">
        <v>0</v>
      </c>
      <c r="CG161">
        <v>0</v>
      </c>
      <c r="CH161">
        <v>0</v>
      </c>
      <c r="CI161">
        <v>0</v>
      </c>
      <c r="CJ161" t="s">
        <v>273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100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100</v>
      </c>
      <c r="CW161" t="s">
        <v>274</v>
      </c>
      <c r="CX161" t="s">
        <v>268</v>
      </c>
      <c r="CY161">
        <v>0</v>
      </c>
    </row>
    <row r="162" spans="5:103" x14ac:dyDescent="0.2">
      <c r="E162">
        <v>0</v>
      </c>
      <c r="F162" t="s">
        <v>155</v>
      </c>
      <c r="G162">
        <v>0</v>
      </c>
      <c r="H162" t="s">
        <v>155</v>
      </c>
      <c r="AL162">
        <v>0</v>
      </c>
      <c r="AM162">
        <v>0.3</v>
      </c>
      <c r="AN162">
        <v>0.3</v>
      </c>
      <c r="AO162">
        <v>0.4</v>
      </c>
      <c r="AP162" t="s">
        <v>268</v>
      </c>
      <c r="AQ162">
        <v>0.3</v>
      </c>
      <c r="AR162">
        <v>0.3</v>
      </c>
      <c r="AS162">
        <v>0.2</v>
      </c>
      <c r="AT162">
        <v>0.2</v>
      </c>
      <c r="AU162" t="s">
        <v>268</v>
      </c>
      <c r="AV162" t="s">
        <v>34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100</v>
      </c>
      <c r="BC162">
        <v>0</v>
      </c>
      <c r="BD162">
        <v>0</v>
      </c>
      <c r="BE162">
        <v>0</v>
      </c>
      <c r="BF162">
        <v>0</v>
      </c>
      <c r="BG162">
        <v>0</v>
      </c>
      <c r="BH162" t="s">
        <v>270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100</v>
      </c>
      <c r="BO162">
        <v>0</v>
      </c>
      <c r="BP162">
        <v>0</v>
      </c>
      <c r="BQ162">
        <v>0</v>
      </c>
      <c r="BR162">
        <v>0</v>
      </c>
      <c r="BS162">
        <v>0</v>
      </c>
      <c r="BT162" t="s">
        <v>271</v>
      </c>
      <c r="BU162">
        <v>100</v>
      </c>
      <c r="BV162">
        <v>0</v>
      </c>
      <c r="BW162" t="s">
        <v>268</v>
      </c>
      <c r="BX162" t="s">
        <v>272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100</v>
      </c>
      <c r="CE162">
        <v>0</v>
      </c>
      <c r="CF162">
        <v>0</v>
      </c>
      <c r="CG162">
        <v>0</v>
      </c>
      <c r="CH162">
        <v>0</v>
      </c>
      <c r="CI162">
        <v>0</v>
      </c>
      <c r="CJ162" t="s">
        <v>273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100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100</v>
      </c>
      <c r="CW162" t="s">
        <v>274</v>
      </c>
      <c r="CX162" t="s">
        <v>268</v>
      </c>
      <c r="CY162">
        <v>0</v>
      </c>
    </row>
    <row r="163" spans="5:103" x14ac:dyDescent="0.2">
      <c r="E163">
        <v>0</v>
      </c>
      <c r="F163" t="s">
        <v>155</v>
      </c>
      <c r="G163">
        <v>0</v>
      </c>
      <c r="H163" t="s">
        <v>155</v>
      </c>
      <c r="AL163">
        <v>0</v>
      </c>
      <c r="AM163">
        <v>0.3</v>
      </c>
      <c r="AN163">
        <v>0.3</v>
      </c>
      <c r="AO163">
        <v>0.4</v>
      </c>
      <c r="AP163" t="s">
        <v>268</v>
      </c>
      <c r="AQ163">
        <v>0.3</v>
      </c>
      <c r="AR163">
        <v>0.3</v>
      </c>
      <c r="AS163">
        <v>0.2</v>
      </c>
      <c r="AT163">
        <v>0.2</v>
      </c>
      <c r="AU163" t="s">
        <v>268</v>
      </c>
      <c r="AV163" t="s">
        <v>34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100</v>
      </c>
      <c r="BC163">
        <v>0</v>
      </c>
      <c r="BD163">
        <v>0</v>
      </c>
      <c r="BE163">
        <v>0</v>
      </c>
      <c r="BF163">
        <v>0</v>
      </c>
      <c r="BG163">
        <v>0</v>
      </c>
      <c r="BH163" t="s">
        <v>270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100</v>
      </c>
      <c r="BO163">
        <v>0</v>
      </c>
      <c r="BP163">
        <v>0</v>
      </c>
      <c r="BQ163">
        <v>0</v>
      </c>
      <c r="BR163">
        <v>0</v>
      </c>
      <c r="BS163">
        <v>0</v>
      </c>
      <c r="BT163" t="s">
        <v>271</v>
      </c>
      <c r="BU163">
        <v>100</v>
      </c>
      <c r="BV163">
        <v>0</v>
      </c>
      <c r="BW163" t="s">
        <v>268</v>
      </c>
      <c r="BX163" t="s">
        <v>272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100</v>
      </c>
      <c r="CE163">
        <v>0</v>
      </c>
      <c r="CF163">
        <v>0</v>
      </c>
      <c r="CG163">
        <v>0</v>
      </c>
      <c r="CH163">
        <v>0</v>
      </c>
      <c r="CI163">
        <v>0</v>
      </c>
      <c r="CJ163" t="s">
        <v>273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100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100</v>
      </c>
      <c r="CW163" t="s">
        <v>274</v>
      </c>
      <c r="CX163" t="s">
        <v>268</v>
      </c>
      <c r="CY163">
        <v>0</v>
      </c>
    </row>
    <row r="164" spans="5:103" x14ac:dyDescent="0.2">
      <c r="E164">
        <v>0</v>
      </c>
      <c r="F164" t="s">
        <v>155</v>
      </c>
      <c r="G164">
        <v>0</v>
      </c>
      <c r="H164" t="s">
        <v>155</v>
      </c>
      <c r="AL164">
        <v>0</v>
      </c>
      <c r="AM164">
        <v>0.3</v>
      </c>
      <c r="AN164">
        <v>0.3</v>
      </c>
      <c r="AO164">
        <v>0.4</v>
      </c>
      <c r="AP164" t="s">
        <v>268</v>
      </c>
      <c r="AQ164">
        <v>0.3</v>
      </c>
      <c r="AR164">
        <v>0.3</v>
      </c>
      <c r="AS164">
        <v>0.2</v>
      </c>
      <c r="AT164">
        <v>0.2</v>
      </c>
      <c r="AU164" t="s">
        <v>268</v>
      </c>
      <c r="AV164" t="s">
        <v>34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100</v>
      </c>
      <c r="BC164">
        <v>0</v>
      </c>
      <c r="BD164">
        <v>0</v>
      </c>
      <c r="BE164">
        <v>0</v>
      </c>
      <c r="BF164">
        <v>0</v>
      </c>
      <c r="BG164">
        <v>0</v>
      </c>
      <c r="BH164" t="s">
        <v>270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100</v>
      </c>
      <c r="BO164">
        <v>0</v>
      </c>
      <c r="BP164">
        <v>0</v>
      </c>
      <c r="BQ164">
        <v>0</v>
      </c>
      <c r="BR164">
        <v>0</v>
      </c>
      <c r="BS164">
        <v>0</v>
      </c>
      <c r="BT164" t="s">
        <v>271</v>
      </c>
      <c r="BU164">
        <v>100</v>
      </c>
      <c r="BV164">
        <v>0</v>
      </c>
      <c r="BW164" t="s">
        <v>268</v>
      </c>
      <c r="BX164" t="s">
        <v>272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100</v>
      </c>
      <c r="CE164">
        <v>0</v>
      </c>
      <c r="CF164">
        <v>0</v>
      </c>
      <c r="CG164">
        <v>0</v>
      </c>
      <c r="CH164">
        <v>0</v>
      </c>
      <c r="CI164">
        <v>0</v>
      </c>
      <c r="CJ164" t="s">
        <v>273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100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100</v>
      </c>
      <c r="CW164" t="s">
        <v>274</v>
      </c>
      <c r="CX164" t="s">
        <v>268</v>
      </c>
      <c r="CY164">
        <v>0</v>
      </c>
    </row>
    <row r="165" spans="5:103" x14ac:dyDescent="0.2">
      <c r="E165">
        <v>0</v>
      </c>
      <c r="F165" t="s">
        <v>155</v>
      </c>
      <c r="G165">
        <v>0</v>
      </c>
      <c r="H165" t="s">
        <v>155</v>
      </c>
      <c r="AL165">
        <v>0</v>
      </c>
      <c r="AM165">
        <v>0.3</v>
      </c>
      <c r="AN165">
        <v>0.3</v>
      </c>
      <c r="AO165">
        <v>0.4</v>
      </c>
      <c r="AP165" t="s">
        <v>268</v>
      </c>
      <c r="AQ165">
        <v>0.3</v>
      </c>
      <c r="AR165">
        <v>0.3</v>
      </c>
      <c r="AS165">
        <v>0.2</v>
      </c>
      <c r="AT165">
        <v>0.2</v>
      </c>
      <c r="AU165" t="s">
        <v>268</v>
      </c>
      <c r="AV165" t="s">
        <v>34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100</v>
      </c>
      <c r="BC165">
        <v>0</v>
      </c>
      <c r="BD165">
        <v>0</v>
      </c>
      <c r="BE165">
        <v>0</v>
      </c>
      <c r="BF165">
        <v>0</v>
      </c>
      <c r="BG165">
        <v>0</v>
      </c>
      <c r="BH165" t="s">
        <v>270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100</v>
      </c>
      <c r="BO165">
        <v>0</v>
      </c>
      <c r="BP165">
        <v>0</v>
      </c>
      <c r="BQ165">
        <v>0</v>
      </c>
      <c r="BR165">
        <v>0</v>
      </c>
      <c r="BS165">
        <v>0</v>
      </c>
      <c r="BT165" t="s">
        <v>271</v>
      </c>
      <c r="BU165">
        <v>100</v>
      </c>
      <c r="BV165">
        <v>0</v>
      </c>
      <c r="BW165" t="s">
        <v>268</v>
      </c>
      <c r="BX165" t="s">
        <v>272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100</v>
      </c>
      <c r="CE165">
        <v>0</v>
      </c>
      <c r="CF165">
        <v>0</v>
      </c>
      <c r="CG165">
        <v>0</v>
      </c>
      <c r="CH165">
        <v>0</v>
      </c>
      <c r="CI165">
        <v>0</v>
      </c>
      <c r="CJ165" t="s">
        <v>273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100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100</v>
      </c>
      <c r="CW165" t="s">
        <v>274</v>
      </c>
      <c r="CX165" t="s">
        <v>268</v>
      </c>
      <c r="CY165">
        <v>0</v>
      </c>
    </row>
    <row r="166" spans="5:103" x14ac:dyDescent="0.2">
      <c r="E166">
        <v>0</v>
      </c>
      <c r="F166" t="s">
        <v>155</v>
      </c>
      <c r="G166">
        <v>0</v>
      </c>
      <c r="H166" t="s">
        <v>155</v>
      </c>
      <c r="AL166">
        <v>0</v>
      </c>
      <c r="AM166">
        <v>0.3</v>
      </c>
      <c r="AN166">
        <v>0.3</v>
      </c>
      <c r="AO166">
        <v>0.4</v>
      </c>
      <c r="AP166" t="s">
        <v>268</v>
      </c>
      <c r="AQ166">
        <v>0.3</v>
      </c>
      <c r="AR166">
        <v>0.3</v>
      </c>
      <c r="AS166">
        <v>0.2</v>
      </c>
      <c r="AT166">
        <v>0.2</v>
      </c>
      <c r="AU166" t="s">
        <v>268</v>
      </c>
      <c r="AV166" t="s">
        <v>34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100</v>
      </c>
      <c r="BC166">
        <v>0</v>
      </c>
      <c r="BD166">
        <v>0</v>
      </c>
      <c r="BE166">
        <v>0</v>
      </c>
      <c r="BF166">
        <v>0</v>
      </c>
      <c r="BG166">
        <v>0</v>
      </c>
      <c r="BH166" t="s">
        <v>270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100</v>
      </c>
      <c r="BO166">
        <v>0</v>
      </c>
      <c r="BP166">
        <v>0</v>
      </c>
      <c r="BQ166">
        <v>0</v>
      </c>
      <c r="BR166">
        <v>0</v>
      </c>
      <c r="BS166">
        <v>0</v>
      </c>
      <c r="BT166" t="s">
        <v>271</v>
      </c>
      <c r="BU166">
        <v>100</v>
      </c>
      <c r="BV166">
        <v>0</v>
      </c>
      <c r="BW166" t="s">
        <v>268</v>
      </c>
      <c r="BX166" t="s">
        <v>272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100</v>
      </c>
      <c r="CE166">
        <v>0</v>
      </c>
      <c r="CF166">
        <v>0</v>
      </c>
      <c r="CG166">
        <v>0</v>
      </c>
      <c r="CH166">
        <v>0</v>
      </c>
      <c r="CI166">
        <v>0</v>
      </c>
      <c r="CJ166" t="s">
        <v>273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100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100</v>
      </c>
      <c r="CW166" t="s">
        <v>274</v>
      </c>
      <c r="CX166" t="s">
        <v>268</v>
      </c>
      <c r="CY166">
        <v>0</v>
      </c>
    </row>
    <row r="167" spans="5:103" x14ac:dyDescent="0.2">
      <c r="E167">
        <v>0</v>
      </c>
      <c r="F167" t="s">
        <v>155</v>
      </c>
      <c r="G167">
        <v>0</v>
      </c>
      <c r="H167" t="s">
        <v>155</v>
      </c>
      <c r="AL167">
        <v>0</v>
      </c>
      <c r="AM167">
        <v>0.3</v>
      </c>
      <c r="AN167">
        <v>0.3</v>
      </c>
      <c r="AO167">
        <v>0.4</v>
      </c>
      <c r="AP167" t="s">
        <v>268</v>
      </c>
      <c r="AQ167">
        <v>0.3</v>
      </c>
      <c r="AR167">
        <v>0.3</v>
      </c>
      <c r="AS167">
        <v>0.2</v>
      </c>
      <c r="AT167">
        <v>0.2</v>
      </c>
      <c r="AU167" t="s">
        <v>268</v>
      </c>
      <c r="AV167" t="s">
        <v>34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100</v>
      </c>
      <c r="BC167">
        <v>0</v>
      </c>
      <c r="BD167">
        <v>0</v>
      </c>
      <c r="BE167">
        <v>0</v>
      </c>
      <c r="BF167">
        <v>0</v>
      </c>
      <c r="BG167">
        <v>0</v>
      </c>
      <c r="BH167" t="s">
        <v>270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100</v>
      </c>
      <c r="BO167">
        <v>0</v>
      </c>
      <c r="BP167">
        <v>0</v>
      </c>
      <c r="BQ167">
        <v>0</v>
      </c>
      <c r="BR167">
        <v>0</v>
      </c>
      <c r="BS167">
        <v>0</v>
      </c>
      <c r="BT167" t="s">
        <v>271</v>
      </c>
      <c r="BU167">
        <v>100</v>
      </c>
      <c r="BV167">
        <v>0</v>
      </c>
      <c r="BW167" t="s">
        <v>268</v>
      </c>
      <c r="BX167" t="s">
        <v>272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100</v>
      </c>
      <c r="CE167">
        <v>0</v>
      </c>
      <c r="CF167">
        <v>0</v>
      </c>
      <c r="CG167">
        <v>0</v>
      </c>
      <c r="CH167">
        <v>0</v>
      </c>
      <c r="CI167">
        <v>0</v>
      </c>
      <c r="CJ167" t="s">
        <v>273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100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100</v>
      </c>
      <c r="CW167" t="s">
        <v>274</v>
      </c>
      <c r="CX167" t="s">
        <v>268</v>
      </c>
      <c r="CY167">
        <v>0</v>
      </c>
    </row>
    <row r="168" spans="5:103" x14ac:dyDescent="0.2">
      <c r="E168">
        <v>0</v>
      </c>
      <c r="F168" t="s">
        <v>155</v>
      </c>
      <c r="G168">
        <v>0</v>
      </c>
      <c r="H168" t="s">
        <v>155</v>
      </c>
      <c r="AL168">
        <v>0</v>
      </c>
      <c r="AM168">
        <v>0.3</v>
      </c>
      <c r="AN168">
        <v>0.3</v>
      </c>
      <c r="AO168">
        <v>0.4</v>
      </c>
      <c r="AP168" t="s">
        <v>268</v>
      </c>
      <c r="AQ168">
        <v>0.3</v>
      </c>
      <c r="AR168">
        <v>0.3</v>
      </c>
      <c r="AS168">
        <v>0.2</v>
      </c>
      <c r="AT168">
        <v>0.2</v>
      </c>
      <c r="AU168" t="s">
        <v>268</v>
      </c>
      <c r="AV168" t="s">
        <v>34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100</v>
      </c>
      <c r="BC168">
        <v>0</v>
      </c>
      <c r="BD168">
        <v>0</v>
      </c>
      <c r="BE168">
        <v>0</v>
      </c>
      <c r="BF168">
        <v>0</v>
      </c>
      <c r="BG168">
        <v>0</v>
      </c>
      <c r="BH168" t="s">
        <v>270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100</v>
      </c>
      <c r="BO168">
        <v>0</v>
      </c>
      <c r="BP168">
        <v>0</v>
      </c>
      <c r="BQ168">
        <v>0</v>
      </c>
      <c r="BR168">
        <v>0</v>
      </c>
      <c r="BS168">
        <v>0</v>
      </c>
      <c r="BT168" t="s">
        <v>271</v>
      </c>
      <c r="BU168">
        <v>100</v>
      </c>
      <c r="BV168">
        <v>0</v>
      </c>
      <c r="BW168" t="s">
        <v>268</v>
      </c>
      <c r="BX168" t="s">
        <v>272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100</v>
      </c>
      <c r="CE168">
        <v>0</v>
      </c>
      <c r="CF168">
        <v>0</v>
      </c>
      <c r="CG168">
        <v>0</v>
      </c>
      <c r="CH168">
        <v>0</v>
      </c>
      <c r="CI168">
        <v>0</v>
      </c>
      <c r="CJ168" t="s">
        <v>273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100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100</v>
      </c>
      <c r="CW168" t="s">
        <v>274</v>
      </c>
      <c r="CX168" t="s">
        <v>268</v>
      </c>
      <c r="CY168">
        <v>0</v>
      </c>
    </row>
    <row r="169" spans="5:103" x14ac:dyDescent="0.2">
      <c r="E169">
        <v>0</v>
      </c>
      <c r="F169" t="s">
        <v>155</v>
      </c>
      <c r="G169">
        <v>0</v>
      </c>
      <c r="H169" t="s">
        <v>155</v>
      </c>
      <c r="AL169">
        <v>0</v>
      </c>
      <c r="AM169">
        <v>0.3</v>
      </c>
      <c r="AN169">
        <v>0.3</v>
      </c>
      <c r="AO169">
        <v>0.4</v>
      </c>
      <c r="AP169" t="s">
        <v>268</v>
      </c>
      <c r="AQ169">
        <v>0.3</v>
      </c>
      <c r="AR169">
        <v>0.3</v>
      </c>
      <c r="AS169">
        <v>0.2</v>
      </c>
      <c r="AT169">
        <v>0.2</v>
      </c>
      <c r="AU169" t="s">
        <v>268</v>
      </c>
      <c r="AV169" t="s">
        <v>34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100</v>
      </c>
      <c r="BC169">
        <v>0</v>
      </c>
      <c r="BD169">
        <v>0</v>
      </c>
      <c r="BE169">
        <v>0</v>
      </c>
      <c r="BF169">
        <v>0</v>
      </c>
      <c r="BG169">
        <v>0</v>
      </c>
      <c r="BH169" t="s">
        <v>270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100</v>
      </c>
      <c r="BO169">
        <v>0</v>
      </c>
      <c r="BP169">
        <v>0</v>
      </c>
      <c r="BQ169">
        <v>0</v>
      </c>
      <c r="BR169">
        <v>0</v>
      </c>
      <c r="BS169">
        <v>0</v>
      </c>
      <c r="BT169" t="s">
        <v>271</v>
      </c>
      <c r="BU169">
        <v>100</v>
      </c>
      <c r="BV169">
        <v>0</v>
      </c>
      <c r="BW169" t="s">
        <v>268</v>
      </c>
      <c r="BX169" t="s">
        <v>272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100</v>
      </c>
      <c r="CE169">
        <v>0</v>
      </c>
      <c r="CF169">
        <v>0</v>
      </c>
      <c r="CG169">
        <v>0</v>
      </c>
      <c r="CH169">
        <v>0</v>
      </c>
      <c r="CI169">
        <v>0</v>
      </c>
      <c r="CJ169" t="s">
        <v>273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100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100</v>
      </c>
      <c r="CW169" t="s">
        <v>274</v>
      </c>
      <c r="CX169" t="s">
        <v>268</v>
      </c>
      <c r="CY169">
        <v>0</v>
      </c>
    </row>
    <row r="170" spans="5:103" x14ac:dyDescent="0.2">
      <c r="E170">
        <v>0</v>
      </c>
      <c r="F170" t="s">
        <v>155</v>
      </c>
      <c r="G170">
        <v>0</v>
      </c>
      <c r="H170" t="s">
        <v>155</v>
      </c>
      <c r="AL170">
        <v>0</v>
      </c>
      <c r="AM170">
        <v>0.3</v>
      </c>
      <c r="AN170">
        <v>0.3</v>
      </c>
      <c r="AO170">
        <v>0.4</v>
      </c>
      <c r="AP170" t="s">
        <v>268</v>
      </c>
      <c r="AQ170">
        <v>0.3</v>
      </c>
      <c r="AR170">
        <v>0.3</v>
      </c>
      <c r="AS170">
        <v>0.2</v>
      </c>
      <c r="AT170">
        <v>0.2</v>
      </c>
      <c r="AU170" t="s">
        <v>268</v>
      </c>
      <c r="AV170" t="s">
        <v>34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100</v>
      </c>
      <c r="BC170">
        <v>0</v>
      </c>
      <c r="BD170">
        <v>0</v>
      </c>
      <c r="BE170">
        <v>0</v>
      </c>
      <c r="BF170">
        <v>0</v>
      </c>
      <c r="BG170">
        <v>0</v>
      </c>
      <c r="BH170" t="s">
        <v>270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100</v>
      </c>
      <c r="BO170">
        <v>0</v>
      </c>
      <c r="BP170">
        <v>0</v>
      </c>
      <c r="BQ170">
        <v>0</v>
      </c>
      <c r="BR170">
        <v>0</v>
      </c>
      <c r="BS170">
        <v>0</v>
      </c>
      <c r="BT170" t="s">
        <v>271</v>
      </c>
      <c r="BU170">
        <v>100</v>
      </c>
      <c r="BV170">
        <v>0</v>
      </c>
      <c r="BW170" t="s">
        <v>268</v>
      </c>
      <c r="BX170" t="s">
        <v>272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100</v>
      </c>
      <c r="CE170">
        <v>0</v>
      </c>
      <c r="CF170">
        <v>0</v>
      </c>
      <c r="CG170">
        <v>0</v>
      </c>
      <c r="CH170">
        <v>0</v>
      </c>
      <c r="CI170">
        <v>0</v>
      </c>
      <c r="CJ170" t="s">
        <v>273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100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100</v>
      </c>
      <c r="CW170" t="s">
        <v>274</v>
      </c>
      <c r="CX170" t="s">
        <v>268</v>
      </c>
      <c r="CY170">
        <v>0</v>
      </c>
    </row>
    <row r="171" spans="5:103" x14ac:dyDescent="0.2">
      <c r="E171">
        <v>0</v>
      </c>
      <c r="F171" t="s">
        <v>155</v>
      </c>
      <c r="G171">
        <v>0</v>
      </c>
      <c r="H171" t="s">
        <v>155</v>
      </c>
      <c r="AL171">
        <v>0</v>
      </c>
      <c r="AM171">
        <v>0.3</v>
      </c>
      <c r="AN171">
        <v>0.3</v>
      </c>
      <c r="AO171">
        <v>0.4</v>
      </c>
      <c r="AP171" t="s">
        <v>268</v>
      </c>
      <c r="AQ171">
        <v>0.3</v>
      </c>
      <c r="AR171">
        <v>0.3</v>
      </c>
      <c r="AS171">
        <v>0.2</v>
      </c>
      <c r="AT171">
        <v>0.2</v>
      </c>
      <c r="AU171" t="s">
        <v>268</v>
      </c>
      <c r="AV171" t="s">
        <v>34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100</v>
      </c>
      <c r="BC171">
        <v>0</v>
      </c>
      <c r="BD171">
        <v>0</v>
      </c>
      <c r="BE171">
        <v>0</v>
      </c>
      <c r="BF171">
        <v>0</v>
      </c>
      <c r="BG171">
        <v>0</v>
      </c>
      <c r="BH171" t="s">
        <v>270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100</v>
      </c>
      <c r="BO171">
        <v>0</v>
      </c>
      <c r="BP171">
        <v>0</v>
      </c>
      <c r="BQ171">
        <v>0</v>
      </c>
      <c r="BR171">
        <v>0</v>
      </c>
      <c r="BS171">
        <v>0</v>
      </c>
      <c r="BT171" t="s">
        <v>271</v>
      </c>
      <c r="BU171">
        <v>100</v>
      </c>
      <c r="BV171">
        <v>0</v>
      </c>
      <c r="BW171" t="s">
        <v>268</v>
      </c>
      <c r="BX171" t="s">
        <v>272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100</v>
      </c>
      <c r="CE171">
        <v>0</v>
      </c>
      <c r="CF171">
        <v>0</v>
      </c>
      <c r="CG171">
        <v>0</v>
      </c>
      <c r="CH171">
        <v>0</v>
      </c>
      <c r="CI171">
        <v>0</v>
      </c>
      <c r="CJ171" t="s">
        <v>273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100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100</v>
      </c>
      <c r="CW171" t="s">
        <v>274</v>
      </c>
      <c r="CX171" t="s">
        <v>268</v>
      </c>
      <c r="CY171">
        <v>0</v>
      </c>
    </row>
    <row r="172" spans="5:103" x14ac:dyDescent="0.2">
      <c r="E172">
        <v>0</v>
      </c>
      <c r="F172" t="s">
        <v>155</v>
      </c>
      <c r="G172">
        <v>0</v>
      </c>
      <c r="H172" t="s">
        <v>155</v>
      </c>
      <c r="AL172">
        <v>0</v>
      </c>
      <c r="AM172">
        <v>0.3</v>
      </c>
      <c r="AN172">
        <v>0.3</v>
      </c>
      <c r="AO172">
        <v>0.4</v>
      </c>
      <c r="AP172" t="s">
        <v>268</v>
      </c>
      <c r="AQ172">
        <v>0.3</v>
      </c>
      <c r="AR172">
        <v>0.3</v>
      </c>
      <c r="AS172">
        <v>0.2</v>
      </c>
      <c r="AT172">
        <v>0.2</v>
      </c>
      <c r="AU172" t="s">
        <v>268</v>
      </c>
      <c r="AV172" t="s">
        <v>34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100</v>
      </c>
      <c r="BC172">
        <v>0</v>
      </c>
      <c r="BD172">
        <v>0</v>
      </c>
      <c r="BE172">
        <v>0</v>
      </c>
      <c r="BF172">
        <v>0</v>
      </c>
      <c r="BG172">
        <v>0</v>
      </c>
      <c r="BH172" t="s">
        <v>270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100</v>
      </c>
      <c r="BO172">
        <v>0</v>
      </c>
      <c r="BP172">
        <v>0</v>
      </c>
      <c r="BQ172">
        <v>0</v>
      </c>
      <c r="BR172">
        <v>0</v>
      </c>
      <c r="BS172">
        <v>0</v>
      </c>
      <c r="BT172" t="s">
        <v>271</v>
      </c>
      <c r="BU172">
        <v>100</v>
      </c>
      <c r="BV172">
        <v>0</v>
      </c>
      <c r="BW172" t="s">
        <v>268</v>
      </c>
      <c r="BX172" t="s">
        <v>272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100</v>
      </c>
      <c r="CE172">
        <v>0</v>
      </c>
      <c r="CF172">
        <v>0</v>
      </c>
      <c r="CG172">
        <v>0</v>
      </c>
      <c r="CH172">
        <v>0</v>
      </c>
      <c r="CI172">
        <v>0</v>
      </c>
      <c r="CJ172" t="s">
        <v>273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100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100</v>
      </c>
      <c r="CW172" t="s">
        <v>274</v>
      </c>
      <c r="CX172" t="s">
        <v>268</v>
      </c>
      <c r="CY172">
        <v>0</v>
      </c>
    </row>
    <row r="173" spans="5:103" x14ac:dyDescent="0.2">
      <c r="E173">
        <v>0</v>
      </c>
      <c r="F173" t="s">
        <v>155</v>
      </c>
      <c r="G173">
        <v>0</v>
      </c>
      <c r="H173" t="s">
        <v>155</v>
      </c>
      <c r="AL173">
        <v>0</v>
      </c>
      <c r="AM173">
        <v>0.3</v>
      </c>
      <c r="AN173">
        <v>0.3</v>
      </c>
      <c r="AO173">
        <v>0.4</v>
      </c>
      <c r="AP173" t="s">
        <v>268</v>
      </c>
      <c r="AQ173">
        <v>0.3</v>
      </c>
      <c r="AR173">
        <v>0.3</v>
      </c>
      <c r="AS173">
        <v>0.2</v>
      </c>
      <c r="AT173">
        <v>0.2</v>
      </c>
      <c r="AU173" t="s">
        <v>268</v>
      </c>
      <c r="AV173" t="s">
        <v>34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100</v>
      </c>
      <c r="BC173">
        <v>0</v>
      </c>
      <c r="BD173">
        <v>0</v>
      </c>
      <c r="BE173">
        <v>0</v>
      </c>
      <c r="BF173">
        <v>0</v>
      </c>
      <c r="BG173">
        <v>0</v>
      </c>
      <c r="BH173" t="s">
        <v>270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100</v>
      </c>
      <c r="BO173">
        <v>0</v>
      </c>
      <c r="BP173">
        <v>0</v>
      </c>
      <c r="BQ173">
        <v>0</v>
      </c>
      <c r="BR173">
        <v>0</v>
      </c>
      <c r="BS173">
        <v>0</v>
      </c>
      <c r="BT173" t="s">
        <v>271</v>
      </c>
      <c r="BU173">
        <v>100</v>
      </c>
      <c r="BV173">
        <v>0</v>
      </c>
      <c r="BW173" t="s">
        <v>268</v>
      </c>
      <c r="BX173" t="s">
        <v>272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100</v>
      </c>
      <c r="CE173">
        <v>0</v>
      </c>
      <c r="CF173">
        <v>0</v>
      </c>
      <c r="CG173">
        <v>0</v>
      </c>
      <c r="CH173">
        <v>0</v>
      </c>
      <c r="CI173">
        <v>0</v>
      </c>
      <c r="CJ173" t="s">
        <v>273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100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100</v>
      </c>
      <c r="CW173" t="s">
        <v>274</v>
      </c>
      <c r="CX173" t="s">
        <v>268</v>
      </c>
      <c r="CY173">
        <v>0</v>
      </c>
    </row>
    <row r="174" spans="5:103" x14ac:dyDescent="0.2">
      <c r="E174">
        <v>0</v>
      </c>
      <c r="F174" t="s">
        <v>155</v>
      </c>
      <c r="G174">
        <v>0</v>
      </c>
      <c r="H174" t="s">
        <v>155</v>
      </c>
      <c r="AL174">
        <v>0</v>
      </c>
      <c r="AM174">
        <v>0.3</v>
      </c>
      <c r="AN174">
        <v>0.3</v>
      </c>
      <c r="AO174">
        <v>0.4</v>
      </c>
      <c r="AP174" t="s">
        <v>268</v>
      </c>
      <c r="AQ174">
        <v>0.3</v>
      </c>
      <c r="AR174">
        <v>0.3</v>
      </c>
      <c r="AS174">
        <v>0.2</v>
      </c>
      <c r="AT174">
        <v>0.2</v>
      </c>
      <c r="AU174" t="s">
        <v>268</v>
      </c>
      <c r="AV174" t="s">
        <v>34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100</v>
      </c>
      <c r="BC174">
        <v>0</v>
      </c>
      <c r="BD174">
        <v>0</v>
      </c>
      <c r="BE174">
        <v>0</v>
      </c>
      <c r="BF174">
        <v>0</v>
      </c>
      <c r="BG174">
        <v>0</v>
      </c>
      <c r="BH174" t="s">
        <v>270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100</v>
      </c>
      <c r="BO174">
        <v>0</v>
      </c>
      <c r="BP174">
        <v>0</v>
      </c>
      <c r="BQ174">
        <v>0</v>
      </c>
      <c r="BR174">
        <v>0</v>
      </c>
      <c r="BS174">
        <v>0</v>
      </c>
      <c r="BT174" t="s">
        <v>271</v>
      </c>
      <c r="BU174">
        <v>100</v>
      </c>
      <c r="BV174">
        <v>0</v>
      </c>
      <c r="BW174" t="s">
        <v>268</v>
      </c>
      <c r="BX174" t="s">
        <v>272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100</v>
      </c>
      <c r="CE174">
        <v>0</v>
      </c>
      <c r="CF174">
        <v>0</v>
      </c>
      <c r="CG174">
        <v>0</v>
      </c>
      <c r="CH174">
        <v>0</v>
      </c>
      <c r="CI174">
        <v>0</v>
      </c>
      <c r="CJ174" t="s">
        <v>273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100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100</v>
      </c>
      <c r="CW174" t="s">
        <v>274</v>
      </c>
      <c r="CX174" t="s">
        <v>268</v>
      </c>
      <c r="CY174">
        <v>0</v>
      </c>
    </row>
    <row r="175" spans="5:103" x14ac:dyDescent="0.2">
      <c r="E175">
        <v>0</v>
      </c>
      <c r="F175" t="s">
        <v>155</v>
      </c>
      <c r="G175">
        <v>0</v>
      </c>
      <c r="H175" t="s">
        <v>155</v>
      </c>
      <c r="AL175">
        <v>0</v>
      </c>
      <c r="AM175">
        <v>0.3</v>
      </c>
      <c r="AN175">
        <v>0.3</v>
      </c>
      <c r="AO175">
        <v>0.4</v>
      </c>
      <c r="AP175" t="s">
        <v>268</v>
      </c>
      <c r="AQ175">
        <v>0.3</v>
      </c>
      <c r="AR175">
        <v>0.3</v>
      </c>
      <c r="AS175">
        <v>0.2</v>
      </c>
      <c r="AT175">
        <v>0.2</v>
      </c>
      <c r="AU175" t="s">
        <v>268</v>
      </c>
      <c r="AV175" t="s">
        <v>34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100</v>
      </c>
      <c r="BC175">
        <v>0</v>
      </c>
      <c r="BD175">
        <v>0</v>
      </c>
      <c r="BE175">
        <v>0</v>
      </c>
      <c r="BF175">
        <v>0</v>
      </c>
      <c r="BG175">
        <v>0</v>
      </c>
      <c r="BH175" t="s">
        <v>270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100</v>
      </c>
      <c r="BO175">
        <v>0</v>
      </c>
      <c r="BP175">
        <v>0</v>
      </c>
      <c r="BQ175">
        <v>0</v>
      </c>
      <c r="BR175">
        <v>0</v>
      </c>
      <c r="BS175">
        <v>0</v>
      </c>
      <c r="BT175" t="s">
        <v>271</v>
      </c>
      <c r="BU175">
        <v>100</v>
      </c>
      <c r="BV175">
        <v>0</v>
      </c>
      <c r="BW175" t="s">
        <v>268</v>
      </c>
      <c r="BX175" t="s">
        <v>272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100</v>
      </c>
      <c r="CE175">
        <v>0</v>
      </c>
      <c r="CF175">
        <v>0</v>
      </c>
      <c r="CG175">
        <v>0</v>
      </c>
      <c r="CH175">
        <v>0</v>
      </c>
      <c r="CI175">
        <v>0</v>
      </c>
      <c r="CJ175" t="s">
        <v>273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100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100</v>
      </c>
      <c r="CW175" t="s">
        <v>274</v>
      </c>
      <c r="CX175" t="s">
        <v>268</v>
      </c>
      <c r="CY175">
        <v>0</v>
      </c>
    </row>
    <row r="176" spans="5:103" x14ac:dyDescent="0.2">
      <c r="E176">
        <v>0</v>
      </c>
      <c r="F176" t="s">
        <v>155</v>
      </c>
      <c r="G176">
        <v>0</v>
      </c>
      <c r="H176" t="s">
        <v>155</v>
      </c>
      <c r="AL176">
        <v>0</v>
      </c>
      <c r="AM176">
        <v>0.3</v>
      </c>
      <c r="AN176">
        <v>0.3</v>
      </c>
      <c r="AO176">
        <v>0.4</v>
      </c>
      <c r="AP176" t="s">
        <v>268</v>
      </c>
      <c r="AQ176">
        <v>0.3</v>
      </c>
      <c r="AR176">
        <v>0.3</v>
      </c>
      <c r="AS176">
        <v>0.2</v>
      </c>
      <c r="AT176">
        <v>0.2</v>
      </c>
      <c r="AU176" t="s">
        <v>268</v>
      </c>
      <c r="AV176" t="s">
        <v>34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100</v>
      </c>
      <c r="BC176">
        <v>0</v>
      </c>
      <c r="BD176">
        <v>0</v>
      </c>
      <c r="BE176">
        <v>0</v>
      </c>
      <c r="BF176">
        <v>0</v>
      </c>
      <c r="BG176">
        <v>0</v>
      </c>
      <c r="BH176" t="s">
        <v>270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100</v>
      </c>
      <c r="BO176">
        <v>0</v>
      </c>
      <c r="BP176">
        <v>0</v>
      </c>
      <c r="BQ176">
        <v>0</v>
      </c>
      <c r="BR176">
        <v>0</v>
      </c>
      <c r="BS176">
        <v>0</v>
      </c>
      <c r="BT176" t="s">
        <v>271</v>
      </c>
      <c r="BU176">
        <v>100</v>
      </c>
      <c r="BV176">
        <v>0</v>
      </c>
      <c r="BW176" t="s">
        <v>268</v>
      </c>
      <c r="BX176" t="s">
        <v>272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100</v>
      </c>
      <c r="CE176">
        <v>0</v>
      </c>
      <c r="CF176">
        <v>0</v>
      </c>
      <c r="CG176">
        <v>0</v>
      </c>
      <c r="CH176">
        <v>0</v>
      </c>
      <c r="CI176">
        <v>0</v>
      </c>
      <c r="CJ176" t="s">
        <v>273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100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100</v>
      </c>
      <c r="CW176" t="s">
        <v>274</v>
      </c>
      <c r="CX176" t="s">
        <v>268</v>
      </c>
      <c r="CY176">
        <v>0</v>
      </c>
    </row>
    <row r="177" spans="5:103" x14ac:dyDescent="0.2">
      <c r="E177">
        <v>0</v>
      </c>
      <c r="F177" t="s">
        <v>155</v>
      </c>
      <c r="G177">
        <v>0</v>
      </c>
      <c r="H177" t="s">
        <v>155</v>
      </c>
      <c r="AL177">
        <v>0</v>
      </c>
      <c r="AM177">
        <v>0.3</v>
      </c>
      <c r="AN177">
        <v>0.3</v>
      </c>
      <c r="AO177">
        <v>0.4</v>
      </c>
      <c r="AP177" t="s">
        <v>268</v>
      </c>
      <c r="AQ177">
        <v>0.3</v>
      </c>
      <c r="AR177">
        <v>0.3</v>
      </c>
      <c r="AS177">
        <v>0.2</v>
      </c>
      <c r="AT177">
        <v>0.2</v>
      </c>
      <c r="AU177" t="s">
        <v>268</v>
      </c>
      <c r="AV177" t="s">
        <v>34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100</v>
      </c>
      <c r="BC177">
        <v>0</v>
      </c>
      <c r="BD177">
        <v>0</v>
      </c>
      <c r="BE177">
        <v>0</v>
      </c>
      <c r="BF177">
        <v>0</v>
      </c>
      <c r="BG177">
        <v>0</v>
      </c>
      <c r="BH177" t="s">
        <v>270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100</v>
      </c>
      <c r="BO177">
        <v>0</v>
      </c>
      <c r="BP177">
        <v>0</v>
      </c>
      <c r="BQ177">
        <v>0</v>
      </c>
      <c r="BR177">
        <v>0</v>
      </c>
      <c r="BS177">
        <v>0</v>
      </c>
      <c r="BT177" t="s">
        <v>271</v>
      </c>
      <c r="BU177">
        <v>100</v>
      </c>
      <c r="BV177">
        <v>0</v>
      </c>
      <c r="BW177" t="s">
        <v>268</v>
      </c>
      <c r="BX177" t="s">
        <v>272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100</v>
      </c>
      <c r="CE177">
        <v>0</v>
      </c>
      <c r="CF177">
        <v>0</v>
      </c>
      <c r="CG177">
        <v>0</v>
      </c>
      <c r="CH177">
        <v>0</v>
      </c>
      <c r="CI177">
        <v>0</v>
      </c>
      <c r="CJ177" t="s">
        <v>273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100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100</v>
      </c>
      <c r="CW177" t="s">
        <v>274</v>
      </c>
      <c r="CX177" t="s">
        <v>268</v>
      </c>
      <c r="CY177">
        <v>0</v>
      </c>
    </row>
    <row r="178" spans="5:103" x14ac:dyDescent="0.2">
      <c r="E178">
        <v>0</v>
      </c>
      <c r="F178" t="s">
        <v>155</v>
      </c>
      <c r="G178">
        <v>0</v>
      </c>
      <c r="H178" t="s">
        <v>155</v>
      </c>
      <c r="AL178">
        <v>0</v>
      </c>
      <c r="AM178">
        <v>0.3</v>
      </c>
      <c r="AN178">
        <v>0.3</v>
      </c>
      <c r="AO178">
        <v>0.4</v>
      </c>
      <c r="AP178" t="s">
        <v>268</v>
      </c>
      <c r="AQ178">
        <v>0.3</v>
      </c>
      <c r="AR178">
        <v>0.3</v>
      </c>
      <c r="AS178">
        <v>0.2</v>
      </c>
      <c r="AT178">
        <v>0.2</v>
      </c>
      <c r="AU178" t="s">
        <v>268</v>
      </c>
      <c r="AV178" t="s">
        <v>34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100</v>
      </c>
      <c r="BC178">
        <v>0</v>
      </c>
      <c r="BD178">
        <v>0</v>
      </c>
      <c r="BE178">
        <v>0</v>
      </c>
      <c r="BF178">
        <v>0</v>
      </c>
      <c r="BG178">
        <v>0</v>
      </c>
      <c r="BH178" t="s">
        <v>270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100</v>
      </c>
      <c r="BO178">
        <v>0</v>
      </c>
      <c r="BP178">
        <v>0</v>
      </c>
      <c r="BQ178">
        <v>0</v>
      </c>
      <c r="BR178">
        <v>0</v>
      </c>
      <c r="BS178">
        <v>0</v>
      </c>
      <c r="BT178" t="s">
        <v>271</v>
      </c>
      <c r="BU178">
        <v>100</v>
      </c>
      <c r="BV178">
        <v>0</v>
      </c>
      <c r="BW178" t="s">
        <v>268</v>
      </c>
      <c r="BX178" t="s">
        <v>272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100</v>
      </c>
      <c r="CE178">
        <v>0</v>
      </c>
      <c r="CF178">
        <v>0</v>
      </c>
      <c r="CG178">
        <v>0</v>
      </c>
      <c r="CH178">
        <v>0</v>
      </c>
      <c r="CI178">
        <v>0</v>
      </c>
      <c r="CJ178" t="s">
        <v>273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100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100</v>
      </c>
      <c r="CW178" t="s">
        <v>274</v>
      </c>
      <c r="CX178" t="s">
        <v>268</v>
      </c>
      <c r="CY178">
        <v>0</v>
      </c>
    </row>
    <row r="179" spans="5:103" x14ac:dyDescent="0.2">
      <c r="E179">
        <v>0</v>
      </c>
      <c r="F179" t="s">
        <v>155</v>
      </c>
      <c r="G179">
        <v>0</v>
      </c>
      <c r="H179" t="s">
        <v>155</v>
      </c>
      <c r="AL179">
        <v>0</v>
      </c>
      <c r="AM179">
        <v>0.3</v>
      </c>
      <c r="AN179">
        <v>0.3</v>
      </c>
      <c r="AO179">
        <v>0.4</v>
      </c>
      <c r="AP179" t="s">
        <v>268</v>
      </c>
      <c r="AQ179">
        <v>0.3</v>
      </c>
      <c r="AR179">
        <v>0.3</v>
      </c>
      <c r="AS179">
        <v>0.2</v>
      </c>
      <c r="AT179">
        <v>0.2</v>
      </c>
      <c r="AU179" t="s">
        <v>268</v>
      </c>
      <c r="AV179" t="s">
        <v>34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100</v>
      </c>
      <c r="BC179">
        <v>0</v>
      </c>
      <c r="BD179">
        <v>0</v>
      </c>
      <c r="BE179">
        <v>0</v>
      </c>
      <c r="BF179">
        <v>0</v>
      </c>
      <c r="BG179">
        <v>0</v>
      </c>
      <c r="BH179" t="s">
        <v>270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100</v>
      </c>
      <c r="BO179">
        <v>0</v>
      </c>
      <c r="BP179">
        <v>0</v>
      </c>
      <c r="BQ179">
        <v>0</v>
      </c>
      <c r="BR179">
        <v>0</v>
      </c>
      <c r="BS179">
        <v>0</v>
      </c>
      <c r="BT179" t="s">
        <v>271</v>
      </c>
      <c r="BU179">
        <v>100</v>
      </c>
      <c r="BV179">
        <v>0</v>
      </c>
      <c r="BW179" t="s">
        <v>268</v>
      </c>
      <c r="BX179" t="s">
        <v>272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100</v>
      </c>
      <c r="CE179">
        <v>0</v>
      </c>
      <c r="CF179">
        <v>0</v>
      </c>
      <c r="CG179">
        <v>0</v>
      </c>
      <c r="CH179">
        <v>0</v>
      </c>
      <c r="CI179">
        <v>0</v>
      </c>
      <c r="CJ179" t="s">
        <v>273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100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100</v>
      </c>
      <c r="CW179" t="s">
        <v>274</v>
      </c>
      <c r="CX179" t="s">
        <v>268</v>
      </c>
      <c r="CY179">
        <v>0</v>
      </c>
    </row>
    <row r="180" spans="5:103" x14ac:dyDescent="0.2">
      <c r="E180">
        <v>0</v>
      </c>
      <c r="F180" t="s">
        <v>155</v>
      </c>
      <c r="G180">
        <v>0</v>
      </c>
      <c r="H180" t="s">
        <v>155</v>
      </c>
      <c r="AL180">
        <v>0</v>
      </c>
      <c r="AM180">
        <v>0.3</v>
      </c>
      <c r="AN180">
        <v>0.3</v>
      </c>
      <c r="AO180">
        <v>0.4</v>
      </c>
      <c r="AP180" t="s">
        <v>268</v>
      </c>
      <c r="AQ180">
        <v>0.3</v>
      </c>
      <c r="AR180">
        <v>0.3</v>
      </c>
      <c r="AS180">
        <v>0.2</v>
      </c>
      <c r="AT180">
        <v>0.2</v>
      </c>
      <c r="AU180" t="s">
        <v>268</v>
      </c>
      <c r="AV180" t="s">
        <v>34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100</v>
      </c>
      <c r="BC180">
        <v>0</v>
      </c>
      <c r="BD180">
        <v>0</v>
      </c>
      <c r="BE180">
        <v>0</v>
      </c>
      <c r="BF180">
        <v>0</v>
      </c>
      <c r="BG180">
        <v>0</v>
      </c>
      <c r="BH180" t="s">
        <v>270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100</v>
      </c>
      <c r="BO180">
        <v>0</v>
      </c>
      <c r="BP180">
        <v>0</v>
      </c>
      <c r="BQ180">
        <v>0</v>
      </c>
      <c r="BR180">
        <v>0</v>
      </c>
      <c r="BS180">
        <v>0</v>
      </c>
      <c r="BT180" t="s">
        <v>271</v>
      </c>
      <c r="BU180">
        <v>100</v>
      </c>
      <c r="BV180">
        <v>0</v>
      </c>
      <c r="BW180" t="s">
        <v>268</v>
      </c>
      <c r="BX180" t="s">
        <v>272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100</v>
      </c>
      <c r="CE180">
        <v>0</v>
      </c>
      <c r="CF180">
        <v>0</v>
      </c>
      <c r="CG180">
        <v>0</v>
      </c>
      <c r="CH180">
        <v>0</v>
      </c>
      <c r="CI180">
        <v>0</v>
      </c>
      <c r="CJ180" t="s">
        <v>273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100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100</v>
      </c>
      <c r="CW180" t="s">
        <v>274</v>
      </c>
      <c r="CX180" t="s">
        <v>268</v>
      </c>
      <c r="CY180">
        <v>0</v>
      </c>
    </row>
    <row r="181" spans="5:103" x14ac:dyDescent="0.2">
      <c r="E181">
        <v>0</v>
      </c>
      <c r="F181" t="s">
        <v>155</v>
      </c>
      <c r="G181">
        <v>0</v>
      </c>
      <c r="H181" t="s">
        <v>155</v>
      </c>
      <c r="AL181">
        <v>0</v>
      </c>
      <c r="AM181">
        <v>0.3</v>
      </c>
      <c r="AN181">
        <v>0.3</v>
      </c>
      <c r="AO181">
        <v>0.4</v>
      </c>
      <c r="AP181" t="s">
        <v>268</v>
      </c>
      <c r="AQ181">
        <v>0.3</v>
      </c>
      <c r="AR181">
        <v>0.3</v>
      </c>
      <c r="AS181">
        <v>0.2</v>
      </c>
      <c r="AT181">
        <v>0.2</v>
      </c>
      <c r="AU181" t="s">
        <v>268</v>
      </c>
      <c r="AV181" t="s">
        <v>34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100</v>
      </c>
      <c r="BC181">
        <v>0</v>
      </c>
      <c r="BD181">
        <v>0</v>
      </c>
      <c r="BE181">
        <v>0</v>
      </c>
      <c r="BF181">
        <v>0</v>
      </c>
      <c r="BG181">
        <v>0</v>
      </c>
      <c r="BH181" t="s">
        <v>270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100</v>
      </c>
      <c r="BO181">
        <v>0</v>
      </c>
      <c r="BP181">
        <v>0</v>
      </c>
      <c r="BQ181">
        <v>0</v>
      </c>
      <c r="BR181">
        <v>0</v>
      </c>
      <c r="BS181">
        <v>0</v>
      </c>
      <c r="BT181" t="s">
        <v>271</v>
      </c>
      <c r="BU181">
        <v>100</v>
      </c>
      <c r="BV181">
        <v>0</v>
      </c>
      <c r="BW181" t="s">
        <v>268</v>
      </c>
      <c r="BX181" t="s">
        <v>272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100</v>
      </c>
      <c r="CE181">
        <v>0</v>
      </c>
      <c r="CF181">
        <v>0</v>
      </c>
      <c r="CG181">
        <v>0</v>
      </c>
      <c r="CH181">
        <v>0</v>
      </c>
      <c r="CI181">
        <v>0</v>
      </c>
      <c r="CJ181" t="s">
        <v>273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100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100</v>
      </c>
      <c r="CW181" t="s">
        <v>274</v>
      </c>
      <c r="CX181" t="s">
        <v>268</v>
      </c>
      <c r="CY181">
        <v>0</v>
      </c>
    </row>
    <row r="182" spans="5:103" x14ac:dyDescent="0.2">
      <c r="E182">
        <v>0</v>
      </c>
      <c r="F182" t="s">
        <v>155</v>
      </c>
      <c r="G182">
        <v>0</v>
      </c>
      <c r="H182" t="s">
        <v>155</v>
      </c>
      <c r="AL182">
        <v>0</v>
      </c>
      <c r="AM182">
        <v>0.3</v>
      </c>
      <c r="AN182">
        <v>0.3</v>
      </c>
      <c r="AO182">
        <v>0.4</v>
      </c>
      <c r="AP182" t="s">
        <v>268</v>
      </c>
      <c r="AQ182">
        <v>0.3</v>
      </c>
      <c r="AR182">
        <v>0.3</v>
      </c>
      <c r="AS182">
        <v>0.2</v>
      </c>
      <c r="AT182">
        <v>0.2</v>
      </c>
      <c r="AU182" t="s">
        <v>268</v>
      </c>
      <c r="AV182" t="s">
        <v>34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100</v>
      </c>
      <c r="BC182">
        <v>0</v>
      </c>
      <c r="BD182">
        <v>0</v>
      </c>
      <c r="BE182">
        <v>0</v>
      </c>
      <c r="BF182">
        <v>0</v>
      </c>
      <c r="BG182">
        <v>0</v>
      </c>
      <c r="BH182" t="s">
        <v>270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100</v>
      </c>
      <c r="BO182">
        <v>0</v>
      </c>
      <c r="BP182">
        <v>0</v>
      </c>
      <c r="BQ182">
        <v>0</v>
      </c>
      <c r="BR182">
        <v>0</v>
      </c>
      <c r="BS182">
        <v>0</v>
      </c>
      <c r="BT182" t="s">
        <v>271</v>
      </c>
      <c r="BU182">
        <v>100</v>
      </c>
      <c r="BV182">
        <v>0</v>
      </c>
      <c r="BW182" t="s">
        <v>268</v>
      </c>
      <c r="BX182" t="s">
        <v>272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100</v>
      </c>
      <c r="CE182">
        <v>0</v>
      </c>
      <c r="CF182">
        <v>0</v>
      </c>
      <c r="CG182">
        <v>0</v>
      </c>
      <c r="CH182">
        <v>0</v>
      </c>
      <c r="CI182">
        <v>0</v>
      </c>
      <c r="CJ182" t="s">
        <v>273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100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100</v>
      </c>
      <c r="CW182" t="s">
        <v>274</v>
      </c>
      <c r="CX182" t="s">
        <v>268</v>
      </c>
      <c r="CY182">
        <v>0</v>
      </c>
    </row>
    <row r="183" spans="5:103" x14ac:dyDescent="0.2">
      <c r="E183">
        <v>0</v>
      </c>
      <c r="F183" t="s">
        <v>155</v>
      </c>
      <c r="G183">
        <v>0</v>
      </c>
      <c r="H183" t="s">
        <v>155</v>
      </c>
      <c r="AL183">
        <v>0</v>
      </c>
      <c r="AM183">
        <v>0.3</v>
      </c>
      <c r="AN183">
        <v>0.3</v>
      </c>
      <c r="AO183">
        <v>0.4</v>
      </c>
      <c r="AP183" t="s">
        <v>268</v>
      </c>
      <c r="AQ183">
        <v>0.3</v>
      </c>
      <c r="AR183">
        <v>0.3</v>
      </c>
      <c r="AS183">
        <v>0.2</v>
      </c>
      <c r="AT183">
        <v>0.2</v>
      </c>
      <c r="AU183" t="s">
        <v>268</v>
      </c>
      <c r="AV183" t="s">
        <v>34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100</v>
      </c>
      <c r="BC183">
        <v>0</v>
      </c>
      <c r="BD183">
        <v>0</v>
      </c>
      <c r="BE183">
        <v>0</v>
      </c>
      <c r="BF183">
        <v>0</v>
      </c>
      <c r="BG183">
        <v>0</v>
      </c>
      <c r="BH183" t="s">
        <v>270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100</v>
      </c>
      <c r="BO183">
        <v>0</v>
      </c>
      <c r="BP183">
        <v>0</v>
      </c>
      <c r="BQ183">
        <v>0</v>
      </c>
      <c r="BR183">
        <v>0</v>
      </c>
      <c r="BS183">
        <v>0</v>
      </c>
      <c r="BT183" t="s">
        <v>271</v>
      </c>
      <c r="BU183">
        <v>100</v>
      </c>
      <c r="BV183">
        <v>0</v>
      </c>
      <c r="BW183" t="s">
        <v>268</v>
      </c>
      <c r="BX183" t="s">
        <v>272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100</v>
      </c>
      <c r="CE183">
        <v>0</v>
      </c>
      <c r="CF183">
        <v>0</v>
      </c>
      <c r="CG183">
        <v>0</v>
      </c>
      <c r="CH183">
        <v>0</v>
      </c>
      <c r="CI183">
        <v>0</v>
      </c>
      <c r="CJ183" t="s">
        <v>273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100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100</v>
      </c>
      <c r="CW183" t="s">
        <v>274</v>
      </c>
      <c r="CX183" t="s">
        <v>268</v>
      </c>
      <c r="CY183">
        <v>0</v>
      </c>
    </row>
    <row r="184" spans="5:103" x14ac:dyDescent="0.2">
      <c r="E184">
        <v>0</v>
      </c>
      <c r="F184" t="s">
        <v>155</v>
      </c>
      <c r="G184">
        <v>0</v>
      </c>
      <c r="H184" t="s">
        <v>155</v>
      </c>
      <c r="AL184">
        <v>0</v>
      </c>
      <c r="AM184">
        <v>0.3</v>
      </c>
      <c r="AN184">
        <v>0.3</v>
      </c>
      <c r="AO184">
        <v>0.4</v>
      </c>
      <c r="AP184" t="s">
        <v>268</v>
      </c>
      <c r="AQ184">
        <v>0.3</v>
      </c>
      <c r="AR184">
        <v>0.3</v>
      </c>
      <c r="AS184">
        <v>0.2</v>
      </c>
      <c r="AT184">
        <v>0.2</v>
      </c>
      <c r="AU184" t="s">
        <v>268</v>
      </c>
      <c r="AV184" t="s">
        <v>34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100</v>
      </c>
      <c r="BC184">
        <v>0</v>
      </c>
      <c r="BD184">
        <v>0</v>
      </c>
      <c r="BE184">
        <v>0</v>
      </c>
      <c r="BF184">
        <v>0</v>
      </c>
      <c r="BG184">
        <v>0</v>
      </c>
      <c r="BH184" t="s">
        <v>270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100</v>
      </c>
      <c r="BO184">
        <v>0</v>
      </c>
      <c r="BP184">
        <v>0</v>
      </c>
      <c r="BQ184">
        <v>0</v>
      </c>
      <c r="BR184">
        <v>0</v>
      </c>
      <c r="BS184">
        <v>0</v>
      </c>
      <c r="BT184" t="s">
        <v>271</v>
      </c>
      <c r="BU184">
        <v>100</v>
      </c>
      <c r="BV184">
        <v>0</v>
      </c>
      <c r="BW184" t="s">
        <v>268</v>
      </c>
      <c r="BX184" t="s">
        <v>272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100</v>
      </c>
      <c r="CE184">
        <v>0</v>
      </c>
      <c r="CF184">
        <v>0</v>
      </c>
      <c r="CG184">
        <v>0</v>
      </c>
      <c r="CH184">
        <v>0</v>
      </c>
      <c r="CI184">
        <v>0</v>
      </c>
      <c r="CJ184" t="s">
        <v>273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100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100</v>
      </c>
      <c r="CW184" t="s">
        <v>274</v>
      </c>
      <c r="CX184" t="s">
        <v>268</v>
      </c>
      <c r="CY184">
        <v>0</v>
      </c>
    </row>
    <row r="185" spans="5:103" x14ac:dyDescent="0.2">
      <c r="E185">
        <v>0</v>
      </c>
      <c r="F185" t="s">
        <v>155</v>
      </c>
      <c r="G185">
        <v>0</v>
      </c>
      <c r="H185" t="s">
        <v>155</v>
      </c>
      <c r="AL185">
        <v>0</v>
      </c>
      <c r="AM185">
        <v>0.3</v>
      </c>
      <c r="AN185">
        <v>0.3</v>
      </c>
      <c r="AO185">
        <v>0.4</v>
      </c>
      <c r="AP185" t="s">
        <v>268</v>
      </c>
      <c r="AQ185">
        <v>0.3</v>
      </c>
      <c r="AR185">
        <v>0.3</v>
      </c>
      <c r="AS185">
        <v>0.2</v>
      </c>
      <c r="AT185">
        <v>0.2</v>
      </c>
      <c r="AU185" t="s">
        <v>268</v>
      </c>
      <c r="AV185" t="s">
        <v>34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100</v>
      </c>
      <c r="BC185">
        <v>0</v>
      </c>
      <c r="BD185">
        <v>0</v>
      </c>
      <c r="BE185">
        <v>0</v>
      </c>
      <c r="BF185">
        <v>0</v>
      </c>
      <c r="BG185">
        <v>0</v>
      </c>
      <c r="BH185" t="s">
        <v>270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100</v>
      </c>
      <c r="BO185">
        <v>0</v>
      </c>
      <c r="BP185">
        <v>0</v>
      </c>
      <c r="BQ185">
        <v>0</v>
      </c>
      <c r="BR185">
        <v>0</v>
      </c>
      <c r="BS185">
        <v>0</v>
      </c>
      <c r="BT185" t="s">
        <v>271</v>
      </c>
      <c r="BU185">
        <v>100</v>
      </c>
      <c r="BV185">
        <v>0</v>
      </c>
      <c r="BW185" t="s">
        <v>268</v>
      </c>
      <c r="BX185" t="s">
        <v>272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100</v>
      </c>
      <c r="CE185">
        <v>0</v>
      </c>
      <c r="CF185">
        <v>0</v>
      </c>
      <c r="CG185">
        <v>0</v>
      </c>
      <c r="CH185">
        <v>0</v>
      </c>
      <c r="CI185">
        <v>0</v>
      </c>
      <c r="CJ185" t="s">
        <v>273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100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100</v>
      </c>
      <c r="CW185" t="s">
        <v>274</v>
      </c>
      <c r="CX185" t="s">
        <v>268</v>
      </c>
      <c r="CY185">
        <v>0</v>
      </c>
    </row>
    <row r="186" spans="5:103" x14ac:dyDescent="0.2">
      <c r="E186">
        <v>0</v>
      </c>
      <c r="F186" t="s">
        <v>155</v>
      </c>
      <c r="G186">
        <v>0</v>
      </c>
      <c r="H186" t="s">
        <v>155</v>
      </c>
      <c r="AL186">
        <v>0</v>
      </c>
      <c r="AM186">
        <v>0.3</v>
      </c>
      <c r="AN186">
        <v>0.3</v>
      </c>
      <c r="AO186">
        <v>0.4</v>
      </c>
      <c r="AP186" t="s">
        <v>268</v>
      </c>
      <c r="AQ186">
        <v>0.3</v>
      </c>
      <c r="AR186">
        <v>0.3</v>
      </c>
      <c r="AS186">
        <v>0.2</v>
      </c>
      <c r="AT186">
        <v>0.2</v>
      </c>
      <c r="AU186" t="s">
        <v>268</v>
      </c>
      <c r="AV186" t="s">
        <v>34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100</v>
      </c>
      <c r="BC186">
        <v>0</v>
      </c>
      <c r="BD186">
        <v>0</v>
      </c>
      <c r="BE186">
        <v>0</v>
      </c>
      <c r="BF186">
        <v>0</v>
      </c>
      <c r="BG186">
        <v>0</v>
      </c>
      <c r="BH186" t="s">
        <v>270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100</v>
      </c>
      <c r="BO186">
        <v>0</v>
      </c>
      <c r="BP186">
        <v>0</v>
      </c>
      <c r="BQ186">
        <v>0</v>
      </c>
      <c r="BR186">
        <v>0</v>
      </c>
      <c r="BS186">
        <v>0</v>
      </c>
      <c r="BT186" t="s">
        <v>271</v>
      </c>
      <c r="BU186">
        <v>100</v>
      </c>
      <c r="BV186">
        <v>0</v>
      </c>
      <c r="BW186" t="s">
        <v>268</v>
      </c>
      <c r="BX186" t="s">
        <v>272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100</v>
      </c>
      <c r="CE186">
        <v>0</v>
      </c>
      <c r="CF186">
        <v>0</v>
      </c>
      <c r="CG186">
        <v>0</v>
      </c>
      <c r="CH186">
        <v>0</v>
      </c>
      <c r="CI186">
        <v>0</v>
      </c>
      <c r="CJ186" t="s">
        <v>273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100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100</v>
      </c>
      <c r="CW186" t="s">
        <v>274</v>
      </c>
      <c r="CX186" t="s">
        <v>268</v>
      </c>
      <c r="CY186">
        <v>0</v>
      </c>
    </row>
    <row r="187" spans="5:103" x14ac:dyDescent="0.2">
      <c r="E187">
        <v>0</v>
      </c>
      <c r="F187" t="s">
        <v>155</v>
      </c>
      <c r="G187">
        <v>0</v>
      </c>
      <c r="H187" t="s">
        <v>155</v>
      </c>
      <c r="AL187">
        <v>0</v>
      </c>
      <c r="AM187">
        <v>0.3</v>
      </c>
      <c r="AN187">
        <v>0.3</v>
      </c>
      <c r="AO187">
        <v>0.4</v>
      </c>
      <c r="AP187" t="s">
        <v>268</v>
      </c>
      <c r="AQ187">
        <v>0.3</v>
      </c>
      <c r="AR187">
        <v>0.3</v>
      </c>
      <c r="AS187">
        <v>0.2</v>
      </c>
      <c r="AT187">
        <v>0.2</v>
      </c>
      <c r="AU187" t="s">
        <v>268</v>
      </c>
      <c r="AV187" t="s">
        <v>34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100</v>
      </c>
      <c r="BC187">
        <v>0</v>
      </c>
      <c r="BD187">
        <v>0</v>
      </c>
      <c r="BE187">
        <v>0</v>
      </c>
      <c r="BF187">
        <v>0</v>
      </c>
      <c r="BG187">
        <v>0</v>
      </c>
      <c r="BH187" t="s">
        <v>270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100</v>
      </c>
      <c r="BO187">
        <v>0</v>
      </c>
      <c r="BP187">
        <v>0</v>
      </c>
      <c r="BQ187">
        <v>0</v>
      </c>
      <c r="BR187">
        <v>0</v>
      </c>
      <c r="BS187">
        <v>0</v>
      </c>
      <c r="BT187" t="s">
        <v>271</v>
      </c>
      <c r="BU187">
        <v>100</v>
      </c>
      <c r="BV187">
        <v>0</v>
      </c>
      <c r="BW187" t="s">
        <v>268</v>
      </c>
      <c r="BX187" t="s">
        <v>272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100</v>
      </c>
      <c r="CE187">
        <v>0</v>
      </c>
      <c r="CF187">
        <v>0</v>
      </c>
      <c r="CG187">
        <v>0</v>
      </c>
      <c r="CH187">
        <v>0</v>
      </c>
      <c r="CI187">
        <v>0</v>
      </c>
      <c r="CJ187" t="s">
        <v>273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100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100</v>
      </c>
      <c r="CW187" t="s">
        <v>274</v>
      </c>
      <c r="CX187" t="s">
        <v>268</v>
      </c>
      <c r="CY187">
        <v>0</v>
      </c>
    </row>
    <row r="188" spans="5:103" x14ac:dyDescent="0.2">
      <c r="E188">
        <v>0</v>
      </c>
      <c r="F188" t="s">
        <v>155</v>
      </c>
      <c r="G188">
        <v>0</v>
      </c>
      <c r="H188" t="s">
        <v>155</v>
      </c>
      <c r="AL188">
        <v>0</v>
      </c>
      <c r="AM188">
        <v>0.3</v>
      </c>
      <c r="AN188">
        <v>0.3</v>
      </c>
      <c r="AO188">
        <v>0.4</v>
      </c>
      <c r="AP188" t="s">
        <v>268</v>
      </c>
      <c r="AQ188">
        <v>0.3</v>
      </c>
      <c r="AR188">
        <v>0.3</v>
      </c>
      <c r="AS188">
        <v>0.2</v>
      </c>
      <c r="AT188">
        <v>0.2</v>
      </c>
      <c r="AU188" t="s">
        <v>268</v>
      </c>
      <c r="AV188" t="s">
        <v>34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100</v>
      </c>
      <c r="BC188">
        <v>0</v>
      </c>
      <c r="BD188">
        <v>0</v>
      </c>
      <c r="BE188">
        <v>0</v>
      </c>
      <c r="BF188">
        <v>0</v>
      </c>
      <c r="BG188">
        <v>0</v>
      </c>
      <c r="BH188" t="s">
        <v>270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100</v>
      </c>
      <c r="BO188">
        <v>0</v>
      </c>
      <c r="BP188">
        <v>0</v>
      </c>
      <c r="BQ188">
        <v>0</v>
      </c>
      <c r="BR188">
        <v>0</v>
      </c>
      <c r="BS188">
        <v>0</v>
      </c>
      <c r="BT188" t="s">
        <v>271</v>
      </c>
      <c r="BU188">
        <v>100</v>
      </c>
      <c r="BV188">
        <v>0</v>
      </c>
      <c r="BW188" t="s">
        <v>268</v>
      </c>
      <c r="BX188" t="s">
        <v>272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100</v>
      </c>
      <c r="CE188">
        <v>0</v>
      </c>
      <c r="CF188">
        <v>0</v>
      </c>
      <c r="CG188">
        <v>0</v>
      </c>
      <c r="CH188">
        <v>0</v>
      </c>
      <c r="CI188">
        <v>0</v>
      </c>
      <c r="CJ188" t="s">
        <v>273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100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100</v>
      </c>
      <c r="CW188" t="s">
        <v>274</v>
      </c>
      <c r="CX188" t="s">
        <v>268</v>
      </c>
      <c r="CY188">
        <v>0</v>
      </c>
    </row>
    <row r="189" spans="5:103" x14ac:dyDescent="0.2">
      <c r="E189">
        <v>0</v>
      </c>
      <c r="F189" t="s">
        <v>155</v>
      </c>
      <c r="G189">
        <v>0</v>
      </c>
      <c r="H189" t="s">
        <v>155</v>
      </c>
      <c r="AL189">
        <v>0</v>
      </c>
      <c r="AM189">
        <v>0.3</v>
      </c>
      <c r="AN189">
        <v>0.3</v>
      </c>
      <c r="AO189">
        <v>0.4</v>
      </c>
      <c r="AP189" t="s">
        <v>268</v>
      </c>
      <c r="AQ189">
        <v>0.3</v>
      </c>
      <c r="AR189">
        <v>0.3</v>
      </c>
      <c r="AS189">
        <v>0.2</v>
      </c>
      <c r="AT189">
        <v>0.2</v>
      </c>
      <c r="AU189" t="s">
        <v>268</v>
      </c>
      <c r="AV189" t="s">
        <v>34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100</v>
      </c>
      <c r="BC189">
        <v>0</v>
      </c>
      <c r="BD189">
        <v>0</v>
      </c>
      <c r="BE189">
        <v>0</v>
      </c>
      <c r="BF189">
        <v>0</v>
      </c>
      <c r="BG189">
        <v>0</v>
      </c>
      <c r="BH189" t="s">
        <v>270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100</v>
      </c>
      <c r="BO189">
        <v>0</v>
      </c>
      <c r="BP189">
        <v>0</v>
      </c>
      <c r="BQ189">
        <v>0</v>
      </c>
      <c r="BR189">
        <v>0</v>
      </c>
      <c r="BS189">
        <v>0</v>
      </c>
      <c r="BT189" t="s">
        <v>271</v>
      </c>
      <c r="BU189">
        <v>100</v>
      </c>
      <c r="BV189">
        <v>0</v>
      </c>
      <c r="BW189" t="s">
        <v>268</v>
      </c>
      <c r="BX189" t="s">
        <v>272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100</v>
      </c>
      <c r="CE189">
        <v>0</v>
      </c>
      <c r="CF189">
        <v>0</v>
      </c>
      <c r="CG189">
        <v>0</v>
      </c>
      <c r="CH189">
        <v>0</v>
      </c>
      <c r="CI189">
        <v>0</v>
      </c>
      <c r="CJ189" t="s">
        <v>273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100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100</v>
      </c>
      <c r="CW189" t="s">
        <v>274</v>
      </c>
      <c r="CX189" t="s">
        <v>268</v>
      </c>
      <c r="CY189">
        <v>0</v>
      </c>
    </row>
    <row r="190" spans="5:103" x14ac:dyDescent="0.2">
      <c r="E190">
        <v>0</v>
      </c>
      <c r="F190" t="s">
        <v>155</v>
      </c>
      <c r="G190">
        <v>0</v>
      </c>
      <c r="H190" t="s">
        <v>155</v>
      </c>
      <c r="AL190">
        <v>0</v>
      </c>
      <c r="AM190">
        <v>0.3</v>
      </c>
      <c r="AN190">
        <v>0.3</v>
      </c>
      <c r="AO190">
        <v>0.4</v>
      </c>
      <c r="AP190" t="s">
        <v>268</v>
      </c>
      <c r="AQ190">
        <v>0.3</v>
      </c>
      <c r="AR190">
        <v>0.3</v>
      </c>
      <c r="AS190">
        <v>0.2</v>
      </c>
      <c r="AT190">
        <v>0.2</v>
      </c>
      <c r="AU190" t="s">
        <v>268</v>
      </c>
      <c r="AV190" t="s">
        <v>34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100</v>
      </c>
      <c r="BC190">
        <v>0</v>
      </c>
      <c r="BD190">
        <v>0</v>
      </c>
      <c r="BE190">
        <v>0</v>
      </c>
      <c r="BF190">
        <v>0</v>
      </c>
      <c r="BG190">
        <v>0</v>
      </c>
      <c r="BH190" t="s">
        <v>270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100</v>
      </c>
      <c r="BO190">
        <v>0</v>
      </c>
      <c r="BP190">
        <v>0</v>
      </c>
      <c r="BQ190">
        <v>0</v>
      </c>
      <c r="BR190">
        <v>0</v>
      </c>
      <c r="BS190">
        <v>0</v>
      </c>
      <c r="BT190" t="s">
        <v>271</v>
      </c>
      <c r="BU190">
        <v>100</v>
      </c>
      <c r="BV190">
        <v>0</v>
      </c>
      <c r="BW190" t="s">
        <v>268</v>
      </c>
      <c r="BX190" t="s">
        <v>272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100</v>
      </c>
      <c r="CE190">
        <v>0</v>
      </c>
      <c r="CF190">
        <v>0</v>
      </c>
      <c r="CG190">
        <v>0</v>
      </c>
      <c r="CH190">
        <v>0</v>
      </c>
      <c r="CI190">
        <v>0</v>
      </c>
      <c r="CJ190" t="s">
        <v>273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100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100</v>
      </c>
      <c r="CW190" t="s">
        <v>274</v>
      </c>
      <c r="CX190" t="s">
        <v>268</v>
      </c>
      <c r="CY190">
        <v>0</v>
      </c>
    </row>
    <row r="191" spans="5:103" x14ac:dyDescent="0.2">
      <c r="E191">
        <v>0</v>
      </c>
      <c r="F191" t="s">
        <v>155</v>
      </c>
      <c r="G191">
        <v>0</v>
      </c>
      <c r="H191" t="s">
        <v>155</v>
      </c>
      <c r="AL191">
        <v>0</v>
      </c>
      <c r="AM191">
        <v>0.3</v>
      </c>
      <c r="AN191">
        <v>0.3</v>
      </c>
      <c r="AO191">
        <v>0.4</v>
      </c>
      <c r="AP191" t="s">
        <v>268</v>
      </c>
      <c r="AQ191">
        <v>0.3</v>
      </c>
      <c r="AR191">
        <v>0.3</v>
      </c>
      <c r="AS191">
        <v>0.2</v>
      </c>
      <c r="AT191">
        <v>0.2</v>
      </c>
      <c r="AU191" t="s">
        <v>268</v>
      </c>
      <c r="AV191" t="s">
        <v>34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100</v>
      </c>
      <c r="BC191">
        <v>0</v>
      </c>
      <c r="BD191">
        <v>0</v>
      </c>
      <c r="BE191">
        <v>0</v>
      </c>
      <c r="BF191">
        <v>0</v>
      </c>
      <c r="BG191">
        <v>0</v>
      </c>
      <c r="BH191" t="s">
        <v>270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100</v>
      </c>
      <c r="BO191">
        <v>0</v>
      </c>
      <c r="BP191">
        <v>0</v>
      </c>
      <c r="BQ191">
        <v>0</v>
      </c>
      <c r="BR191">
        <v>0</v>
      </c>
      <c r="BS191">
        <v>0</v>
      </c>
      <c r="BT191" t="s">
        <v>271</v>
      </c>
      <c r="BU191">
        <v>100</v>
      </c>
      <c r="BV191">
        <v>0</v>
      </c>
      <c r="BW191" t="s">
        <v>268</v>
      </c>
      <c r="BX191" t="s">
        <v>272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100</v>
      </c>
      <c r="CE191">
        <v>0</v>
      </c>
      <c r="CF191">
        <v>0</v>
      </c>
      <c r="CG191">
        <v>0</v>
      </c>
      <c r="CH191">
        <v>0</v>
      </c>
      <c r="CI191">
        <v>0</v>
      </c>
      <c r="CJ191" t="s">
        <v>273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100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100</v>
      </c>
      <c r="CW191" t="s">
        <v>274</v>
      </c>
      <c r="CX191" t="s">
        <v>268</v>
      </c>
      <c r="CY191">
        <v>0</v>
      </c>
    </row>
    <row r="192" spans="5:103" x14ac:dyDescent="0.2">
      <c r="E192">
        <v>0</v>
      </c>
      <c r="F192" t="s">
        <v>155</v>
      </c>
      <c r="G192">
        <v>0</v>
      </c>
      <c r="H192" t="s">
        <v>155</v>
      </c>
      <c r="AL192">
        <v>0</v>
      </c>
      <c r="AM192">
        <v>0.3</v>
      </c>
      <c r="AN192">
        <v>0.3</v>
      </c>
      <c r="AO192">
        <v>0.4</v>
      </c>
      <c r="AP192" t="s">
        <v>268</v>
      </c>
      <c r="AQ192">
        <v>0.3</v>
      </c>
      <c r="AR192">
        <v>0.3</v>
      </c>
      <c r="AS192">
        <v>0.2</v>
      </c>
      <c r="AT192">
        <v>0.2</v>
      </c>
      <c r="AU192" t="s">
        <v>268</v>
      </c>
      <c r="AV192" t="s">
        <v>34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100</v>
      </c>
      <c r="BC192">
        <v>0</v>
      </c>
      <c r="BD192">
        <v>0</v>
      </c>
      <c r="BE192">
        <v>0</v>
      </c>
      <c r="BF192">
        <v>0</v>
      </c>
      <c r="BG192">
        <v>0</v>
      </c>
      <c r="BH192" t="s">
        <v>270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100</v>
      </c>
      <c r="BO192">
        <v>0</v>
      </c>
      <c r="BP192">
        <v>0</v>
      </c>
      <c r="BQ192">
        <v>0</v>
      </c>
      <c r="BR192">
        <v>0</v>
      </c>
      <c r="BS192">
        <v>0</v>
      </c>
      <c r="BT192" t="s">
        <v>271</v>
      </c>
      <c r="BU192">
        <v>100</v>
      </c>
      <c r="BV192">
        <v>0</v>
      </c>
      <c r="BW192" t="s">
        <v>268</v>
      </c>
      <c r="BX192" t="s">
        <v>272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100</v>
      </c>
      <c r="CE192">
        <v>0</v>
      </c>
      <c r="CF192">
        <v>0</v>
      </c>
      <c r="CG192">
        <v>0</v>
      </c>
      <c r="CH192">
        <v>0</v>
      </c>
      <c r="CI192">
        <v>0</v>
      </c>
      <c r="CJ192" t="s">
        <v>273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100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100</v>
      </c>
      <c r="CW192" t="s">
        <v>274</v>
      </c>
      <c r="CX192" t="s">
        <v>268</v>
      </c>
      <c r="CY192">
        <v>0</v>
      </c>
    </row>
    <row r="193" spans="5:103" x14ac:dyDescent="0.2">
      <c r="E193">
        <v>0</v>
      </c>
      <c r="F193" t="s">
        <v>155</v>
      </c>
      <c r="G193">
        <v>0</v>
      </c>
      <c r="H193" t="s">
        <v>155</v>
      </c>
      <c r="AL193">
        <v>0</v>
      </c>
      <c r="AM193">
        <v>0.3</v>
      </c>
      <c r="AN193">
        <v>0.3</v>
      </c>
      <c r="AO193">
        <v>0.4</v>
      </c>
      <c r="AP193" t="s">
        <v>268</v>
      </c>
      <c r="AQ193">
        <v>0.3</v>
      </c>
      <c r="AR193">
        <v>0.3</v>
      </c>
      <c r="AS193">
        <v>0.2</v>
      </c>
      <c r="AT193">
        <v>0.2</v>
      </c>
      <c r="AU193" t="s">
        <v>268</v>
      </c>
      <c r="AV193" t="s">
        <v>34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100</v>
      </c>
      <c r="BC193">
        <v>0</v>
      </c>
      <c r="BD193">
        <v>0</v>
      </c>
      <c r="BE193">
        <v>0</v>
      </c>
      <c r="BF193">
        <v>0</v>
      </c>
      <c r="BG193">
        <v>0</v>
      </c>
      <c r="BH193" t="s">
        <v>270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100</v>
      </c>
      <c r="BO193">
        <v>0</v>
      </c>
      <c r="BP193">
        <v>0</v>
      </c>
      <c r="BQ193">
        <v>0</v>
      </c>
      <c r="BR193">
        <v>0</v>
      </c>
      <c r="BS193">
        <v>0</v>
      </c>
      <c r="BT193" t="s">
        <v>271</v>
      </c>
      <c r="BU193">
        <v>100</v>
      </c>
      <c r="BV193">
        <v>0</v>
      </c>
      <c r="BW193" t="s">
        <v>268</v>
      </c>
      <c r="BX193" t="s">
        <v>272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100</v>
      </c>
      <c r="CE193">
        <v>0</v>
      </c>
      <c r="CF193">
        <v>0</v>
      </c>
      <c r="CG193">
        <v>0</v>
      </c>
      <c r="CH193">
        <v>0</v>
      </c>
      <c r="CI193">
        <v>0</v>
      </c>
      <c r="CJ193" t="s">
        <v>273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100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100</v>
      </c>
      <c r="CW193" t="s">
        <v>274</v>
      </c>
      <c r="CX193" t="s">
        <v>268</v>
      </c>
      <c r="CY193">
        <v>0</v>
      </c>
    </row>
    <row r="194" spans="5:103" x14ac:dyDescent="0.2">
      <c r="E194">
        <v>0</v>
      </c>
      <c r="F194" t="s">
        <v>155</v>
      </c>
      <c r="G194">
        <v>0</v>
      </c>
      <c r="H194" t="s">
        <v>155</v>
      </c>
      <c r="AL194">
        <v>0</v>
      </c>
      <c r="AM194">
        <v>0.3</v>
      </c>
      <c r="AN194">
        <v>0.3</v>
      </c>
      <c r="AO194">
        <v>0.4</v>
      </c>
      <c r="AP194" t="s">
        <v>268</v>
      </c>
      <c r="AQ194">
        <v>0.3</v>
      </c>
      <c r="AR194">
        <v>0.3</v>
      </c>
      <c r="AS194">
        <v>0.2</v>
      </c>
      <c r="AT194">
        <v>0.2</v>
      </c>
      <c r="AU194" t="s">
        <v>268</v>
      </c>
      <c r="AV194" t="s">
        <v>34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100</v>
      </c>
      <c r="BC194">
        <v>0</v>
      </c>
      <c r="BD194">
        <v>0</v>
      </c>
      <c r="BE194">
        <v>0</v>
      </c>
      <c r="BF194">
        <v>0</v>
      </c>
      <c r="BG194">
        <v>0</v>
      </c>
      <c r="BH194" t="s">
        <v>270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100</v>
      </c>
      <c r="BO194">
        <v>0</v>
      </c>
      <c r="BP194">
        <v>0</v>
      </c>
      <c r="BQ194">
        <v>0</v>
      </c>
      <c r="BR194">
        <v>0</v>
      </c>
      <c r="BS194">
        <v>0</v>
      </c>
      <c r="BT194" t="s">
        <v>271</v>
      </c>
      <c r="BU194">
        <v>100</v>
      </c>
      <c r="BV194">
        <v>0</v>
      </c>
      <c r="BW194" t="s">
        <v>268</v>
      </c>
      <c r="BX194" t="s">
        <v>272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100</v>
      </c>
      <c r="CE194">
        <v>0</v>
      </c>
      <c r="CF194">
        <v>0</v>
      </c>
      <c r="CG194">
        <v>0</v>
      </c>
      <c r="CH194">
        <v>0</v>
      </c>
      <c r="CI194">
        <v>0</v>
      </c>
      <c r="CJ194" t="s">
        <v>273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100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100</v>
      </c>
      <c r="CW194" t="s">
        <v>274</v>
      </c>
      <c r="CX194" t="s">
        <v>268</v>
      </c>
      <c r="CY194">
        <v>0</v>
      </c>
    </row>
    <row r="195" spans="5:103" x14ac:dyDescent="0.2">
      <c r="E195">
        <v>0</v>
      </c>
      <c r="F195" t="s">
        <v>155</v>
      </c>
      <c r="G195">
        <v>0</v>
      </c>
      <c r="H195" t="s">
        <v>155</v>
      </c>
      <c r="AL195">
        <v>0</v>
      </c>
      <c r="AM195">
        <v>0.3</v>
      </c>
      <c r="AN195">
        <v>0.3</v>
      </c>
      <c r="AO195">
        <v>0.4</v>
      </c>
      <c r="AP195" t="s">
        <v>268</v>
      </c>
      <c r="AQ195">
        <v>0.3</v>
      </c>
      <c r="AR195">
        <v>0.3</v>
      </c>
      <c r="AS195">
        <v>0.2</v>
      </c>
      <c r="AT195">
        <v>0.2</v>
      </c>
      <c r="AU195" t="s">
        <v>268</v>
      </c>
      <c r="AV195" t="s">
        <v>34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100</v>
      </c>
      <c r="BC195">
        <v>0</v>
      </c>
      <c r="BD195">
        <v>0</v>
      </c>
      <c r="BE195">
        <v>0</v>
      </c>
      <c r="BF195">
        <v>0</v>
      </c>
      <c r="BG195">
        <v>0</v>
      </c>
      <c r="BH195" t="s">
        <v>270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100</v>
      </c>
      <c r="BO195">
        <v>0</v>
      </c>
      <c r="BP195">
        <v>0</v>
      </c>
      <c r="BQ195">
        <v>0</v>
      </c>
      <c r="BR195">
        <v>0</v>
      </c>
      <c r="BS195">
        <v>0</v>
      </c>
      <c r="BT195" t="s">
        <v>271</v>
      </c>
      <c r="BU195">
        <v>100</v>
      </c>
      <c r="BV195">
        <v>0</v>
      </c>
      <c r="BW195" t="s">
        <v>268</v>
      </c>
      <c r="BX195" t="s">
        <v>272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100</v>
      </c>
      <c r="CE195">
        <v>0</v>
      </c>
      <c r="CF195">
        <v>0</v>
      </c>
      <c r="CG195">
        <v>0</v>
      </c>
      <c r="CH195">
        <v>0</v>
      </c>
      <c r="CI195">
        <v>0</v>
      </c>
      <c r="CJ195" t="s">
        <v>273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100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100</v>
      </c>
      <c r="CW195" t="s">
        <v>274</v>
      </c>
      <c r="CX195" t="s">
        <v>268</v>
      </c>
      <c r="CY195">
        <v>0</v>
      </c>
    </row>
    <row r="196" spans="5:103" x14ac:dyDescent="0.2">
      <c r="E196">
        <v>0</v>
      </c>
      <c r="F196" t="s">
        <v>155</v>
      </c>
      <c r="G196">
        <v>0</v>
      </c>
      <c r="H196" t="s">
        <v>155</v>
      </c>
      <c r="AL196">
        <v>0</v>
      </c>
      <c r="AM196">
        <v>0.3</v>
      </c>
      <c r="AN196">
        <v>0.3</v>
      </c>
      <c r="AO196">
        <v>0.4</v>
      </c>
      <c r="AP196" t="s">
        <v>268</v>
      </c>
      <c r="AQ196">
        <v>0.3</v>
      </c>
      <c r="AR196">
        <v>0.3</v>
      </c>
      <c r="AS196">
        <v>0.2</v>
      </c>
      <c r="AT196">
        <v>0.2</v>
      </c>
      <c r="AU196" t="s">
        <v>268</v>
      </c>
      <c r="AV196" t="s">
        <v>34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100</v>
      </c>
      <c r="BC196">
        <v>0</v>
      </c>
      <c r="BD196">
        <v>0</v>
      </c>
      <c r="BE196">
        <v>0</v>
      </c>
      <c r="BF196">
        <v>0</v>
      </c>
      <c r="BG196">
        <v>0</v>
      </c>
      <c r="BH196" t="s">
        <v>270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100</v>
      </c>
      <c r="BO196">
        <v>0</v>
      </c>
      <c r="BP196">
        <v>0</v>
      </c>
      <c r="BQ196">
        <v>0</v>
      </c>
      <c r="BR196">
        <v>0</v>
      </c>
      <c r="BS196">
        <v>0</v>
      </c>
      <c r="BT196" t="s">
        <v>271</v>
      </c>
      <c r="BU196">
        <v>100</v>
      </c>
      <c r="BV196">
        <v>0</v>
      </c>
      <c r="BW196" t="s">
        <v>268</v>
      </c>
      <c r="BX196" t="s">
        <v>272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100</v>
      </c>
      <c r="CE196">
        <v>0</v>
      </c>
      <c r="CF196">
        <v>0</v>
      </c>
      <c r="CG196">
        <v>0</v>
      </c>
      <c r="CH196">
        <v>0</v>
      </c>
      <c r="CI196">
        <v>0</v>
      </c>
      <c r="CJ196" t="s">
        <v>273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100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100</v>
      </c>
      <c r="CW196" t="s">
        <v>274</v>
      </c>
      <c r="CX196" t="s">
        <v>268</v>
      </c>
      <c r="CY196">
        <v>0</v>
      </c>
    </row>
    <row r="197" spans="5:103" x14ac:dyDescent="0.2">
      <c r="E197">
        <v>0</v>
      </c>
      <c r="F197" t="s">
        <v>155</v>
      </c>
      <c r="G197">
        <v>0</v>
      </c>
      <c r="H197" t="s">
        <v>155</v>
      </c>
      <c r="AL197">
        <v>0</v>
      </c>
      <c r="AM197">
        <v>0.3</v>
      </c>
      <c r="AN197">
        <v>0.3</v>
      </c>
      <c r="AO197">
        <v>0.4</v>
      </c>
      <c r="AP197" t="s">
        <v>268</v>
      </c>
      <c r="AQ197">
        <v>0.3</v>
      </c>
      <c r="AR197">
        <v>0.3</v>
      </c>
      <c r="AS197">
        <v>0.2</v>
      </c>
      <c r="AT197">
        <v>0.2</v>
      </c>
      <c r="AU197" t="s">
        <v>268</v>
      </c>
      <c r="AV197" t="s">
        <v>34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100</v>
      </c>
      <c r="BC197">
        <v>0</v>
      </c>
      <c r="BD197">
        <v>0</v>
      </c>
      <c r="BE197">
        <v>0</v>
      </c>
      <c r="BF197">
        <v>0</v>
      </c>
      <c r="BG197">
        <v>0</v>
      </c>
      <c r="BH197" t="s">
        <v>270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100</v>
      </c>
      <c r="BO197">
        <v>0</v>
      </c>
      <c r="BP197">
        <v>0</v>
      </c>
      <c r="BQ197">
        <v>0</v>
      </c>
      <c r="BR197">
        <v>0</v>
      </c>
      <c r="BS197">
        <v>0</v>
      </c>
      <c r="BT197" t="s">
        <v>271</v>
      </c>
      <c r="BU197">
        <v>100</v>
      </c>
      <c r="BV197">
        <v>0</v>
      </c>
      <c r="BW197" t="s">
        <v>268</v>
      </c>
      <c r="BX197" t="s">
        <v>272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100</v>
      </c>
      <c r="CE197">
        <v>0</v>
      </c>
      <c r="CF197">
        <v>0</v>
      </c>
      <c r="CG197">
        <v>0</v>
      </c>
      <c r="CH197">
        <v>0</v>
      </c>
      <c r="CI197">
        <v>0</v>
      </c>
      <c r="CJ197" t="s">
        <v>273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100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100</v>
      </c>
      <c r="CW197" t="s">
        <v>274</v>
      </c>
      <c r="CX197" t="s">
        <v>268</v>
      </c>
      <c r="CY197">
        <v>0</v>
      </c>
    </row>
    <row r="198" spans="5:103" x14ac:dyDescent="0.2">
      <c r="E198">
        <v>0</v>
      </c>
      <c r="F198" t="s">
        <v>155</v>
      </c>
      <c r="G198">
        <v>0</v>
      </c>
      <c r="H198" t="s">
        <v>155</v>
      </c>
      <c r="AL198">
        <v>0</v>
      </c>
      <c r="AM198">
        <v>0.3</v>
      </c>
      <c r="AN198">
        <v>0.3</v>
      </c>
      <c r="AO198">
        <v>0.4</v>
      </c>
      <c r="AP198" t="s">
        <v>268</v>
      </c>
      <c r="AQ198">
        <v>0.3</v>
      </c>
      <c r="AR198">
        <v>0.3</v>
      </c>
      <c r="AS198">
        <v>0.2</v>
      </c>
      <c r="AT198">
        <v>0.2</v>
      </c>
      <c r="AU198" t="s">
        <v>268</v>
      </c>
      <c r="AV198" t="s">
        <v>34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100</v>
      </c>
      <c r="BC198">
        <v>0</v>
      </c>
      <c r="BD198">
        <v>0</v>
      </c>
      <c r="BE198">
        <v>0</v>
      </c>
      <c r="BF198">
        <v>0</v>
      </c>
      <c r="BG198">
        <v>0</v>
      </c>
      <c r="BH198" t="s">
        <v>270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100</v>
      </c>
      <c r="BO198">
        <v>0</v>
      </c>
      <c r="BP198">
        <v>0</v>
      </c>
      <c r="BQ198">
        <v>0</v>
      </c>
      <c r="BR198">
        <v>0</v>
      </c>
      <c r="BS198">
        <v>0</v>
      </c>
      <c r="BT198" t="s">
        <v>271</v>
      </c>
      <c r="BU198">
        <v>100</v>
      </c>
      <c r="BV198">
        <v>0</v>
      </c>
      <c r="BW198" t="s">
        <v>268</v>
      </c>
      <c r="BX198" t="s">
        <v>272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100</v>
      </c>
      <c r="CE198">
        <v>0</v>
      </c>
      <c r="CF198">
        <v>0</v>
      </c>
      <c r="CG198">
        <v>0</v>
      </c>
      <c r="CH198">
        <v>0</v>
      </c>
      <c r="CI198">
        <v>0</v>
      </c>
      <c r="CJ198" t="s">
        <v>273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100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100</v>
      </c>
      <c r="CW198" t="s">
        <v>274</v>
      </c>
      <c r="CX198" t="s">
        <v>268</v>
      </c>
      <c r="CY198">
        <v>0</v>
      </c>
    </row>
    <row r="199" spans="5:103" x14ac:dyDescent="0.2">
      <c r="E199">
        <v>0</v>
      </c>
      <c r="F199" t="s">
        <v>155</v>
      </c>
      <c r="G199">
        <v>0</v>
      </c>
      <c r="H199" t="s">
        <v>155</v>
      </c>
      <c r="AL199">
        <v>0</v>
      </c>
      <c r="AM199">
        <v>0.3</v>
      </c>
      <c r="AN199">
        <v>0.3</v>
      </c>
      <c r="AO199">
        <v>0.4</v>
      </c>
      <c r="AP199" t="s">
        <v>268</v>
      </c>
      <c r="AQ199">
        <v>0.3</v>
      </c>
      <c r="AR199">
        <v>0.3</v>
      </c>
      <c r="AS199">
        <v>0.2</v>
      </c>
      <c r="AT199">
        <v>0.2</v>
      </c>
      <c r="AU199" t="s">
        <v>268</v>
      </c>
      <c r="AV199" t="s">
        <v>34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100</v>
      </c>
      <c r="BC199">
        <v>0</v>
      </c>
      <c r="BD199">
        <v>0</v>
      </c>
      <c r="BE199">
        <v>0</v>
      </c>
      <c r="BF199">
        <v>0</v>
      </c>
      <c r="BG199">
        <v>0</v>
      </c>
      <c r="BH199" t="s">
        <v>270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100</v>
      </c>
      <c r="BO199">
        <v>0</v>
      </c>
      <c r="BP199">
        <v>0</v>
      </c>
      <c r="BQ199">
        <v>0</v>
      </c>
      <c r="BR199">
        <v>0</v>
      </c>
      <c r="BS199">
        <v>0</v>
      </c>
      <c r="BT199" t="s">
        <v>271</v>
      </c>
      <c r="BU199">
        <v>100</v>
      </c>
      <c r="BV199">
        <v>0</v>
      </c>
      <c r="BW199" t="s">
        <v>268</v>
      </c>
      <c r="BX199" t="s">
        <v>272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100</v>
      </c>
      <c r="CE199">
        <v>0</v>
      </c>
      <c r="CF199">
        <v>0</v>
      </c>
      <c r="CG199">
        <v>0</v>
      </c>
      <c r="CH199">
        <v>0</v>
      </c>
      <c r="CI199">
        <v>0</v>
      </c>
      <c r="CJ199" t="s">
        <v>273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100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100</v>
      </c>
      <c r="CW199" t="s">
        <v>274</v>
      </c>
      <c r="CX199" t="s">
        <v>268</v>
      </c>
      <c r="CY199">
        <v>0</v>
      </c>
    </row>
    <row r="200" spans="5:103" x14ac:dyDescent="0.2">
      <c r="E200">
        <v>0</v>
      </c>
      <c r="F200" t="s">
        <v>155</v>
      </c>
      <c r="G200">
        <v>0</v>
      </c>
      <c r="H200" t="s">
        <v>155</v>
      </c>
      <c r="AL200">
        <v>0</v>
      </c>
      <c r="AM200">
        <v>0.3</v>
      </c>
      <c r="AN200">
        <v>0.3</v>
      </c>
      <c r="AO200">
        <v>0.4</v>
      </c>
      <c r="AP200" t="s">
        <v>268</v>
      </c>
      <c r="AQ200">
        <v>0.3</v>
      </c>
      <c r="AR200">
        <v>0.3</v>
      </c>
      <c r="AS200">
        <v>0.2</v>
      </c>
      <c r="AT200">
        <v>0.2</v>
      </c>
      <c r="AU200" t="s">
        <v>268</v>
      </c>
      <c r="AV200" t="s">
        <v>34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100</v>
      </c>
      <c r="BC200">
        <v>0</v>
      </c>
      <c r="BD200">
        <v>0</v>
      </c>
      <c r="BE200">
        <v>0</v>
      </c>
      <c r="BF200">
        <v>0</v>
      </c>
      <c r="BG200">
        <v>0</v>
      </c>
      <c r="BH200" t="s">
        <v>270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100</v>
      </c>
      <c r="BO200">
        <v>0</v>
      </c>
      <c r="BP200">
        <v>0</v>
      </c>
      <c r="BQ200">
        <v>0</v>
      </c>
      <c r="BR200">
        <v>0</v>
      </c>
      <c r="BS200">
        <v>0</v>
      </c>
      <c r="BT200" t="s">
        <v>271</v>
      </c>
      <c r="BU200">
        <v>100</v>
      </c>
      <c r="BV200">
        <v>0</v>
      </c>
      <c r="BW200" t="s">
        <v>268</v>
      </c>
      <c r="BX200" t="s">
        <v>272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100</v>
      </c>
      <c r="CE200">
        <v>0</v>
      </c>
      <c r="CF200">
        <v>0</v>
      </c>
      <c r="CG200">
        <v>0</v>
      </c>
      <c r="CH200">
        <v>0</v>
      </c>
      <c r="CI200">
        <v>0</v>
      </c>
      <c r="CJ200" t="s">
        <v>273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100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100</v>
      </c>
      <c r="CW200" t="s">
        <v>274</v>
      </c>
      <c r="CX200" t="s">
        <v>268</v>
      </c>
      <c r="CY200">
        <v>0</v>
      </c>
    </row>
    <row r="201" spans="5:103" x14ac:dyDescent="0.2">
      <c r="E201">
        <v>0</v>
      </c>
      <c r="F201" t="s">
        <v>155</v>
      </c>
      <c r="G201">
        <v>0</v>
      </c>
      <c r="H201" t="s">
        <v>155</v>
      </c>
      <c r="AL201">
        <v>0</v>
      </c>
      <c r="AM201">
        <v>0.3</v>
      </c>
      <c r="AN201">
        <v>0.3</v>
      </c>
      <c r="AO201">
        <v>0.4</v>
      </c>
      <c r="AP201" t="s">
        <v>268</v>
      </c>
      <c r="AQ201">
        <v>0.3</v>
      </c>
      <c r="AR201">
        <v>0.3</v>
      </c>
      <c r="AS201">
        <v>0.2</v>
      </c>
      <c r="AT201">
        <v>0.2</v>
      </c>
      <c r="AU201" t="s">
        <v>268</v>
      </c>
      <c r="AV201" t="s">
        <v>34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100</v>
      </c>
      <c r="BC201">
        <v>0</v>
      </c>
      <c r="BD201">
        <v>0</v>
      </c>
      <c r="BE201">
        <v>0</v>
      </c>
      <c r="BF201">
        <v>0</v>
      </c>
      <c r="BG201">
        <v>0</v>
      </c>
      <c r="BH201" t="s">
        <v>270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100</v>
      </c>
      <c r="BO201">
        <v>0</v>
      </c>
      <c r="BP201">
        <v>0</v>
      </c>
      <c r="BQ201">
        <v>0</v>
      </c>
      <c r="BR201">
        <v>0</v>
      </c>
      <c r="BS201">
        <v>0</v>
      </c>
      <c r="BT201" t="s">
        <v>271</v>
      </c>
      <c r="BU201">
        <v>100</v>
      </c>
      <c r="BV201">
        <v>0</v>
      </c>
      <c r="BW201" t="s">
        <v>268</v>
      </c>
      <c r="BX201" t="s">
        <v>272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100</v>
      </c>
      <c r="CE201">
        <v>0</v>
      </c>
      <c r="CF201">
        <v>0</v>
      </c>
      <c r="CG201">
        <v>0</v>
      </c>
      <c r="CH201">
        <v>0</v>
      </c>
      <c r="CI201">
        <v>0</v>
      </c>
      <c r="CJ201" t="s">
        <v>273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100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100</v>
      </c>
      <c r="CW201" t="s">
        <v>274</v>
      </c>
      <c r="CX201" t="s">
        <v>268</v>
      </c>
      <c r="CY201">
        <v>0</v>
      </c>
    </row>
    <row r="202" spans="5:103" x14ac:dyDescent="0.2">
      <c r="E202">
        <v>0</v>
      </c>
      <c r="F202" t="s">
        <v>155</v>
      </c>
      <c r="G202">
        <v>0</v>
      </c>
      <c r="H202" t="s">
        <v>155</v>
      </c>
      <c r="AL202">
        <v>0</v>
      </c>
      <c r="AM202">
        <v>0.3</v>
      </c>
      <c r="AN202">
        <v>0.3</v>
      </c>
      <c r="AO202">
        <v>0.4</v>
      </c>
      <c r="AP202" t="s">
        <v>268</v>
      </c>
      <c r="AQ202">
        <v>0.3</v>
      </c>
      <c r="AR202">
        <v>0.3</v>
      </c>
      <c r="AS202">
        <v>0.2</v>
      </c>
      <c r="AT202">
        <v>0.2</v>
      </c>
      <c r="AU202" t="s">
        <v>268</v>
      </c>
      <c r="AV202" t="s">
        <v>34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100</v>
      </c>
      <c r="BC202">
        <v>0</v>
      </c>
      <c r="BD202">
        <v>0</v>
      </c>
      <c r="BE202">
        <v>0</v>
      </c>
      <c r="BF202">
        <v>0</v>
      </c>
      <c r="BG202">
        <v>0</v>
      </c>
      <c r="BH202" t="s">
        <v>270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100</v>
      </c>
      <c r="BO202">
        <v>0</v>
      </c>
      <c r="BP202">
        <v>0</v>
      </c>
      <c r="BQ202">
        <v>0</v>
      </c>
      <c r="BR202">
        <v>0</v>
      </c>
      <c r="BS202">
        <v>0</v>
      </c>
      <c r="BT202" t="s">
        <v>271</v>
      </c>
      <c r="BU202">
        <v>100</v>
      </c>
      <c r="BV202">
        <v>0</v>
      </c>
      <c r="BW202" t="s">
        <v>268</v>
      </c>
      <c r="BX202" t="s">
        <v>272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100</v>
      </c>
      <c r="CE202">
        <v>0</v>
      </c>
      <c r="CF202">
        <v>0</v>
      </c>
      <c r="CG202">
        <v>0</v>
      </c>
      <c r="CH202">
        <v>0</v>
      </c>
      <c r="CI202">
        <v>0</v>
      </c>
      <c r="CJ202" t="s">
        <v>273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100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100</v>
      </c>
      <c r="CW202" t="s">
        <v>274</v>
      </c>
      <c r="CX202" t="s">
        <v>268</v>
      </c>
      <c r="CY202">
        <v>0</v>
      </c>
    </row>
    <row r="203" spans="5:103" x14ac:dyDescent="0.2">
      <c r="E203">
        <v>0</v>
      </c>
      <c r="F203" t="s">
        <v>155</v>
      </c>
      <c r="G203">
        <v>0</v>
      </c>
      <c r="H203" t="s">
        <v>155</v>
      </c>
      <c r="AL203">
        <v>0</v>
      </c>
      <c r="AM203">
        <v>0.3</v>
      </c>
      <c r="AN203">
        <v>0.3</v>
      </c>
      <c r="AO203">
        <v>0.4</v>
      </c>
      <c r="AP203" t="s">
        <v>268</v>
      </c>
      <c r="AQ203">
        <v>0.3</v>
      </c>
      <c r="AR203">
        <v>0.3</v>
      </c>
      <c r="AS203">
        <v>0.2</v>
      </c>
      <c r="AT203">
        <v>0.2</v>
      </c>
      <c r="AU203" t="s">
        <v>268</v>
      </c>
      <c r="AV203" t="s">
        <v>34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100</v>
      </c>
      <c r="BC203">
        <v>0</v>
      </c>
      <c r="BD203">
        <v>0</v>
      </c>
      <c r="BE203">
        <v>0</v>
      </c>
      <c r="BF203">
        <v>0</v>
      </c>
      <c r="BG203">
        <v>0</v>
      </c>
      <c r="BH203" t="s">
        <v>270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100</v>
      </c>
      <c r="BO203">
        <v>0</v>
      </c>
      <c r="BP203">
        <v>0</v>
      </c>
      <c r="BQ203">
        <v>0</v>
      </c>
      <c r="BR203">
        <v>0</v>
      </c>
      <c r="BS203">
        <v>0</v>
      </c>
      <c r="BT203" t="s">
        <v>271</v>
      </c>
      <c r="BU203">
        <v>100</v>
      </c>
      <c r="BV203">
        <v>0</v>
      </c>
      <c r="BW203" t="s">
        <v>268</v>
      </c>
      <c r="BX203" t="s">
        <v>272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100</v>
      </c>
      <c r="CE203">
        <v>0</v>
      </c>
      <c r="CF203">
        <v>0</v>
      </c>
      <c r="CG203">
        <v>0</v>
      </c>
      <c r="CH203">
        <v>0</v>
      </c>
      <c r="CI203">
        <v>0</v>
      </c>
      <c r="CJ203" t="s">
        <v>273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100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100</v>
      </c>
      <c r="CW203" t="s">
        <v>274</v>
      </c>
      <c r="CX203" t="s">
        <v>268</v>
      </c>
      <c r="CY203">
        <v>0</v>
      </c>
    </row>
    <row r="204" spans="5:103" x14ac:dyDescent="0.2">
      <c r="E204">
        <v>0</v>
      </c>
      <c r="F204" t="s">
        <v>155</v>
      </c>
      <c r="G204">
        <v>0</v>
      </c>
      <c r="H204" t="s">
        <v>155</v>
      </c>
      <c r="AL204">
        <v>0</v>
      </c>
      <c r="AM204">
        <v>0.3</v>
      </c>
      <c r="AN204">
        <v>0.3</v>
      </c>
      <c r="AO204">
        <v>0.4</v>
      </c>
      <c r="AP204" t="s">
        <v>268</v>
      </c>
      <c r="AQ204">
        <v>0.3</v>
      </c>
      <c r="AR204">
        <v>0.3</v>
      </c>
      <c r="AS204">
        <v>0.2</v>
      </c>
      <c r="AT204">
        <v>0.2</v>
      </c>
      <c r="AU204" t="s">
        <v>268</v>
      </c>
      <c r="AV204" t="s">
        <v>34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100</v>
      </c>
      <c r="BC204">
        <v>0</v>
      </c>
      <c r="BD204">
        <v>0</v>
      </c>
      <c r="BE204">
        <v>0</v>
      </c>
      <c r="BF204">
        <v>0</v>
      </c>
      <c r="BG204">
        <v>0</v>
      </c>
      <c r="BH204" t="s">
        <v>270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100</v>
      </c>
      <c r="BO204">
        <v>0</v>
      </c>
      <c r="BP204">
        <v>0</v>
      </c>
      <c r="BQ204">
        <v>0</v>
      </c>
      <c r="BR204">
        <v>0</v>
      </c>
      <c r="BS204">
        <v>0</v>
      </c>
      <c r="BT204" t="s">
        <v>271</v>
      </c>
      <c r="BU204">
        <v>100</v>
      </c>
      <c r="BV204">
        <v>0</v>
      </c>
      <c r="BW204" t="s">
        <v>268</v>
      </c>
      <c r="BX204" t="s">
        <v>272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100</v>
      </c>
      <c r="CE204">
        <v>0</v>
      </c>
      <c r="CF204">
        <v>0</v>
      </c>
      <c r="CG204">
        <v>0</v>
      </c>
      <c r="CH204">
        <v>0</v>
      </c>
      <c r="CI204">
        <v>0</v>
      </c>
      <c r="CJ204" t="s">
        <v>273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100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100</v>
      </c>
      <c r="CW204" t="s">
        <v>274</v>
      </c>
      <c r="CX204" t="s">
        <v>268</v>
      </c>
      <c r="CY204">
        <v>0</v>
      </c>
    </row>
    <row r="205" spans="5:103" x14ac:dyDescent="0.2">
      <c r="E205">
        <v>0</v>
      </c>
      <c r="F205" t="s">
        <v>155</v>
      </c>
      <c r="G205">
        <v>0</v>
      </c>
      <c r="H205" t="s">
        <v>155</v>
      </c>
      <c r="AL205">
        <v>0</v>
      </c>
      <c r="AM205">
        <v>0.3</v>
      </c>
      <c r="AN205">
        <v>0.3</v>
      </c>
      <c r="AO205">
        <v>0.4</v>
      </c>
      <c r="AP205" t="s">
        <v>268</v>
      </c>
      <c r="AQ205">
        <v>0.3</v>
      </c>
      <c r="AR205">
        <v>0.3</v>
      </c>
      <c r="AS205">
        <v>0.2</v>
      </c>
      <c r="AT205">
        <v>0.2</v>
      </c>
      <c r="AU205" t="s">
        <v>268</v>
      </c>
      <c r="AV205" t="s">
        <v>34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100</v>
      </c>
      <c r="BC205">
        <v>0</v>
      </c>
      <c r="BD205">
        <v>0</v>
      </c>
      <c r="BE205">
        <v>0</v>
      </c>
      <c r="BF205">
        <v>0</v>
      </c>
      <c r="BG205">
        <v>0</v>
      </c>
      <c r="BH205" t="s">
        <v>270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100</v>
      </c>
      <c r="BO205">
        <v>0</v>
      </c>
      <c r="BP205">
        <v>0</v>
      </c>
      <c r="BQ205">
        <v>0</v>
      </c>
      <c r="BR205">
        <v>0</v>
      </c>
      <c r="BS205">
        <v>0</v>
      </c>
      <c r="BT205" t="s">
        <v>271</v>
      </c>
      <c r="BU205">
        <v>100</v>
      </c>
      <c r="BV205">
        <v>0</v>
      </c>
      <c r="BW205" t="s">
        <v>268</v>
      </c>
      <c r="BX205" t="s">
        <v>272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100</v>
      </c>
      <c r="CE205">
        <v>0</v>
      </c>
      <c r="CF205">
        <v>0</v>
      </c>
      <c r="CG205">
        <v>0</v>
      </c>
      <c r="CH205">
        <v>0</v>
      </c>
      <c r="CI205">
        <v>0</v>
      </c>
      <c r="CJ205" t="s">
        <v>273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100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100</v>
      </c>
      <c r="CW205" t="s">
        <v>274</v>
      </c>
      <c r="CX205" t="s">
        <v>268</v>
      </c>
      <c r="CY205">
        <v>0</v>
      </c>
    </row>
    <row r="206" spans="5:103" x14ac:dyDescent="0.2">
      <c r="E206">
        <v>0</v>
      </c>
      <c r="F206" t="s">
        <v>155</v>
      </c>
      <c r="G206">
        <v>0</v>
      </c>
      <c r="H206" t="s">
        <v>155</v>
      </c>
      <c r="AL206">
        <v>0</v>
      </c>
      <c r="AM206">
        <v>0.3</v>
      </c>
      <c r="AN206">
        <v>0.3</v>
      </c>
      <c r="AO206">
        <v>0.4</v>
      </c>
      <c r="AP206" t="s">
        <v>268</v>
      </c>
      <c r="AQ206">
        <v>0.3</v>
      </c>
      <c r="AR206">
        <v>0.3</v>
      </c>
      <c r="AS206">
        <v>0.2</v>
      </c>
      <c r="AT206">
        <v>0.2</v>
      </c>
      <c r="AU206" t="s">
        <v>268</v>
      </c>
      <c r="AV206" t="s">
        <v>34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100</v>
      </c>
      <c r="BC206">
        <v>0</v>
      </c>
      <c r="BD206">
        <v>0</v>
      </c>
      <c r="BE206">
        <v>0</v>
      </c>
      <c r="BF206">
        <v>0</v>
      </c>
      <c r="BG206">
        <v>0</v>
      </c>
      <c r="BH206" t="s">
        <v>270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100</v>
      </c>
      <c r="BO206">
        <v>0</v>
      </c>
      <c r="BP206">
        <v>0</v>
      </c>
      <c r="BQ206">
        <v>0</v>
      </c>
      <c r="BR206">
        <v>0</v>
      </c>
      <c r="BS206">
        <v>0</v>
      </c>
      <c r="BT206" t="s">
        <v>271</v>
      </c>
      <c r="BU206">
        <v>100</v>
      </c>
      <c r="BV206">
        <v>0</v>
      </c>
      <c r="BW206" t="s">
        <v>268</v>
      </c>
      <c r="BX206" t="s">
        <v>272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100</v>
      </c>
      <c r="CE206">
        <v>0</v>
      </c>
      <c r="CF206">
        <v>0</v>
      </c>
      <c r="CG206">
        <v>0</v>
      </c>
      <c r="CH206">
        <v>0</v>
      </c>
      <c r="CI206">
        <v>0</v>
      </c>
      <c r="CJ206" t="s">
        <v>273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100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100</v>
      </c>
      <c r="CW206" t="s">
        <v>274</v>
      </c>
      <c r="CX206" t="s">
        <v>268</v>
      </c>
      <c r="CY206">
        <v>0</v>
      </c>
    </row>
    <row r="207" spans="5:103" x14ac:dyDescent="0.2">
      <c r="E207">
        <v>0</v>
      </c>
      <c r="F207" t="s">
        <v>155</v>
      </c>
      <c r="G207">
        <v>0</v>
      </c>
      <c r="H207" t="s">
        <v>155</v>
      </c>
      <c r="AL207">
        <v>0</v>
      </c>
      <c r="AM207">
        <v>0.3</v>
      </c>
      <c r="AN207">
        <v>0.3</v>
      </c>
      <c r="AO207">
        <v>0.4</v>
      </c>
      <c r="AP207" t="s">
        <v>268</v>
      </c>
      <c r="AQ207">
        <v>0.3</v>
      </c>
      <c r="AR207">
        <v>0.3</v>
      </c>
      <c r="AS207">
        <v>0.2</v>
      </c>
      <c r="AT207">
        <v>0.2</v>
      </c>
      <c r="AU207" t="s">
        <v>268</v>
      </c>
      <c r="AV207" t="s">
        <v>34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100</v>
      </c>
      <c r="BC207">
        <v>0</v>
      </c>
      <c r="BD207">
        <v>0</v>
      </c>
      <c r="BE207">
        <v>0</v>
      </c>
      <c r="BF207">
        <v>0</v>
      </c>
      <c r="BG207">
        <v>0</v>
      </c>
      <c r="BH207" t="s">
        <v>270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100</v>
      </c>
      <c r="BO207">
        <v>0</v>
      </c>
      <c r="BP207">
        <v>0</v>
      </c>
      <c r="BQ207">
        <v>0</v>
      </c>
      <c r="BR207">
        <v>0</v>
      </c>
      <c r="BS207">
        <v>0</v>
      </c>
      <c r="BT207" t="s">
        <v>271</v>
      </c>
      <c r="BU207">
        <v>100</v>
      </c>
      <c r="BV207">
        <v>0</v>
      </c>
      <c r="BW207" t="s">
        <v>268</v>
      </c>
      <c r="BX207" t="s">
        <v>272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100</v>
      </c>
      <c r="CE207">
        <v>0</v>
      </c>
      <c r="CF207">
        <v>0</v>
      </c>
      <c r="CG207">
        <v>0</v>
      </c>
      <c r="CH207">
        <v>0</v>
      </c>
      <c r="CI207">
        <v>0</v>
      </c>
      <c r="CJ207" t="s">
        <v>273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100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100</v>
      </c>
      <c r="CW207" t="s">
        <v>274</v>
      </c>
      <c r="CX207" t="s">
        <v>268</v>
      </c>
      <c r="CY207">
        <v>0</v>
      </c>
    </row>
    <row r="208" spans="5:103" x14ac:dyDescent="0.2">
      <c r="E208">
        <v>0</v>
      </c>
      <c r="F208" t="s">
        <v>155</v>
      </c>
      <c r="G208">
        <v>0</v>
      </c>
      <c r="H208" t="s">
        <v>155</v>
      </c>
      <c r="AL208">
        <v>0</v>
      </c>
      <c r="AM208">
        <v>0.3</v>
      </c>
      <c r="AN208">
        <v>0.3</v>
      </c>
      <c r="AO208">
        <v>0.4</v>
      </c>
      <c r="AP208" t="s">
        <v>268</v>
      </c>
      <c r="AQ208">
        <v>0.3</v>
      </c>
      <c r="AR208">
        <v>0.3</v>
      </c>
      <c r="AS208">
        <v>0.2</v>
      </c>
      <c r="AT208">
        <v>0.2</v>
      </c>
      <c r="AU208" t="s">
        <v>268</v>
      </c>
      <c r="AV208" t="s">
        <v>34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100</v>
      </c>
      <c r="BC208">
        <v>0</v>
      </c>
      <c r="BD208">
        <v>0</v>
      </c>
      <c r="BE208">
        <v>0</v>
      </c>
      <c r="BF208">
        <v>0</v>
      </c>
      <c r="BG208">
        <v>0</v>
      </c>
      <c r="BH208" t="s">
        <v>270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100</v>
      </c>
      <c r="BO208">
        <v>0</v>
      </c>
      <c r="BP208">
        <v>0</v>
      </c>
      <c r="BQ208">
        <v>0</v>
      </c>
      <c r="BR208">
        <v>0</v>
      </c>
      <c r="BS208">
        <v>0</v>
      </c>
      <c r="BT208" t="s">
        <v>271</v>
      </c>
      <c r="BU208">
        <v>100</v>
      </c>
      <c r="BV208">
        <v>0</v>
      </c>
      <c r="BW208" t="s">
        <v>268</v>
      </c>
      <c r="BX208" t="s">
        <v>272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100</v>
      </c>
      <c r="CE208">
        <v>0</v>
      </c>
      <c r="CF208">
        <v>0</v>
      </c>
      <c r="CG208">
        <v>0</v>
      </c>
      <c r="CH208">
        <v>0</v>
      </c>
      <c r="CI208">
        <v>0</v>
      </c>
      <c r="CJ208" t="s">
        <v>273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100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100</v>
      </c>
      <c r="CW208" t="s">
        <v>274</v>
      </c>
      <c r="CX208" t="s">
        <v>268</v>
      </c>
      <c r="CY208">
        <v>0</v>
      </c>
    </row>
    <row r="209" spans="5:103" x14ac:dyDescent="0.2">
      <c r="E209">
        <v>0</v>
      </c>
      <c r="F209" t="s">
        <v>155</v>
      </c>
      <c r="G209">
        <v>0</v>
      </c>
      <c r="H209" t="s">
        <v>155</v>
      </c>
      <c r="AL209">
        <v>0</v>
      </c>
      <c r="AM209">
        <v>0.3</v>
      </c>
      <c r="AN209">
        <v>0.3</v>
      </c>
      <c r="AO209">
        <v>0.4</v>
      </c>
      <c r="AP209" t="s">
        <v>268</v>
      </c>
      <c r="AQ209">
        <v>0.3</v>
      </c>
      <c r="AR209">
        <v>0.3</v>
      </c>
      <c r="AS209">
        <v>0.2</v>
      </c>
      <c r="AT209">
        <v>0.2</v>
      </c>
      <c r="AU209" t="s">
        <v>268</v>
      </c>
      <c r="AV209" t="s">
        <v>34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100</v>
      </c>
      <c r="BC209">
        <v>0</v>
      </c>
      <c r="BD209">
        <v>0</v>
      </c>
      <c r="BE209">
        <v>0</v>
      </c>
      <c r="BF209">
        <v>0</v>
      </c>
      <c r="BG209">
        <v>0</v>
      </c>
      <c r="BH209" t="s">
        <v>270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100</v>
      </c>
      <c r="BO209">
        <v>0</v>
      </c>
      <c r="BP209">
        <v>0</v>
      </c>
      <c r="BQ209">
        <v>0</v>
      </c>
      <c r="BR209">
        <v>0</v>
      </c>
      <c r="BS209">
        <v>0</v>
      </c>
      <c r="BT209" t="s">
        <v>271</v>
      </c>
      <c r="BU209">
        <v>100</v>
      </c>
      <c r="BV209">
        <v>0</v>
      </c>
      <c r="BW209" t="s">
        <v>268</v>
      </c>
      <c r="BX209" t="s">
        <v>272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100</v>
      </c>
      <c r="CE209">
        <v>0</v>
      </c>
      <c r="CF209">
        <v>0</v>
      </c>
      <c r="CG209">
        <v>0</v>
      </c>
      <c r="CH209">
        <v>0</v>
      </c>
      <c r="CI209">
        <v>0</v>
      </c>
      <c r="CJ209" t="s">
        <v>273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100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100</v>
      </c>
      <c r="CW209" t="s">
        <v>274</v>
      </c>
      <c r="CX209" t="s">
        <v>268</v>
      </c>
      <c r="CY209">
        <v>0</v>
      </c>
    </row>
    <row r="210" spans="5:103" x14ac:dyDescent="0.2">
      <c r="E210">
        <v>0</v>
      </c>
      <c r="F210" t="s">
        <v>155</v>
      </c>
      <c r="G210">
        <v>0</v>
      </c>
      <c r="H210" t="s">
        <v>155</v>
      </c>
      <c r="AL210">
        <v>0</v>
      </c>
      <c r="AM210">
        <v>0.3</v>
      </c>
      <c r="AN210">
        <v>0.3</v>
      </c>
      <c r="AO210">
        <v>0.4</v>
      </c>
      <c r="AP210" t="s">
        <v>268</v>
      </c>
      <c r="AQ210">
        <v>0.3</v>
      </c>
      <c r="AR210">
        <v>0.3</v>
      </c>
      <c r="AS210">
        <v>0.2</v>
      </c>
      <c r="AT210">
        <v>0.2</v>
      </c>
      <c r="AU210" t="s">
        <v>268</v>
      </c>
      <c r="AV210" t="s">
        <v>34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100</v>
      </c>
      <c r="BC210">
        <v>0</v>
      </c>
      <c r="BD210">
        <v>0</v>
      </c>
      <c r="BE210">
        <v>0</v>
      </c>
      <c r="BF210">
        <v>0</v>
      </c>
      <c r="BG210">
        <v>0</v>
      </c>
      <c r="BH210" t="s">
        <v>270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100</v>
      </c>
      <c r="BO210">
        <v>0</v>
      </c>
      <c r="BP210">
        <v>0</v>
      </c>
      <c r="BQ210">
        <v>0</v>
      </c>
      <c r="BR210">
        <v>0</v>
      </c>
      <c r="BS210">
        <v>0</v>
      </c>
      <c r="BT210" t="s">
        <v>271</v>
      </c>
      <c r="BU210">
        <v>100</v>
      </c>
      <c r="BV210">
        <v>0</v>
      </c>
      <c r="BW210" t="s">
        <v>268</v>
      </c>
      <c r="BX210" t="s">
        <v>272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100</v>
      </c>
      <c r="CE210">
        <v>0</v>
      </c>
      <c r="CF210">
        <v>0</v>
      </c>
      <c r="CG210">
        <v>0</v>
      </c>
      <c r="CH210">
        <v>0</v>
      </c>
      <c r="CI210">
        <v>0</v>
      </c>
      <c r="CJ210" t="s">
        <v>273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100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100</v>
      </c>
      <c r="CW210" t="s">
        <v>274</v>
      </c>
      <c r="CX210" t="s">
        <v>268</v>
      </c>
      <c r="CY210">
        <v>0</v>
      </c>
    </row>
    <row r="211" spans="5:103" x14ac:dyDescent="0.2">
      <c r="E211">
        <v>0</v>
      </c>
      <c r="F211" t="s">
        <v>155</v>
      </c>
      <c r="G211">
        <v>0</v>
      </c>
      <c r="H211" t="s">
        <v>155</v>
      </c>
      <c r="AL211">
        <v>0</v>
      </c>
      <c r="AM211">
        <v>0.3</v>
      </c>
      <c r="AN211">
        <v>0.3</v>
      </c>
      <c r="AO211">
        <v>0.4</v>
      </c>
      <c r="AP211" t="s">
        <v>268</v>
      </c>
      <c r="AQ211">
        <v>0.3</v>
      </c>
      <c r="AR211">
        <v>0.3</v>
      </c>
      <c r="AS211">
        <v>0.2</v>
      </c>
      <c r="AT211">
        <v>0.2</v>
      </c>
      <c r="AU211" t="s">
        <v>268</v>
      </c>
      <c r="AV211" t="s">
        <v>34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100</v>
      </c>
      <c r="BC211">
        <v>0</v>
      </c>
      <c r="BD211">
        <v>0</v>
      </c>
      <c r="BE211">
        <v>0</v>
      </c>
      <c r="BF211">
        <v>0</v>
      </c>
      <c r="BG211">
        <v>0</v>
      </c>
      <c r="BH211" t="s">
        <v>270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100</v>
      </c>
      <c r="BO211">
        <v>0</v>
      </c>
      <c r="BP211">
        <v>0</v>
      </c>
      <c r="BQ211">
        <v>0</v>
      </c>
      <c r="BR211">
        <v>0</v>
      </c>
      <c r="BS211">
        <v>0</v>
      </c>
      <c r="BT211" t="s">
        <v>271</v>
      </c>
      <c r="BU211">
        <v>100</v>
      </c>
      <c r="BV211">
        <v>0</v>
      </c>
      <c r="BW211" t="s">
        <v>268</v>
      </c>
      <c r="BX211" t="s">
        <v>272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100</v>
      </c>
      <c r="CE211">
        <v>0</v>
      </c>
      <c r="CF211">
        <v>0</v>
      </c>
      <c r="CG211">
        <v>0</v>
      </c>
      <c r="CH211">
        <v>0</v>
      </c>
      <c r="CI211">
        <v>0</v>
      </c>
      <c r="CJ211" t="s">
        <v>273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100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100</v>
      </c>
      <c r="CW211" t="s">
        <v>274</v>
      </c>
      <c r="CX211" t="s">
        <v>268</v>
      </c>
      <c r="CY211">
        <v>0</v>
      </c>
    </row>
    <row r="212" spans="5:103" x14ac:dyDescent="0.2">
      <c r="E212">
        <v>0</v>
      </c>
      <c r="F212" t="s">
        <v>155</v>
      </c>
      <c r="G212">
        <v>0</v>
      </c>
      <c r="H212" t="s">
        <v>155</v>
      </c>
      <c r="AL212">
        <v>0</v>
      </c>
      <c r="AM212">
        <v>0.3</v>
      </c>
      <c r="AN212">
        <v>0.3</v>
      </c>
      <c r="AO212">
        <v>0.4</v>
      </c>
      <c r="AP212" t="s">
        <v>268</v>
      </c>
      <c r="AQ212">
        <v>0.3</v>
      </c>
      <c r="AR212">
        <v>0.3</v>
      </c>
      <c r="AS212">
        <v>0.2</v>
      </c>
      <c r="AT212">
        <v>0.2</v>
      </c>
      <c r="AU212" t="s">
        <v>268</v>
      </c>
      <c r="AV212" t="s">
        <v>34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100</v>
      </c>
      <c r="BC212">
        <v>0</v>
      </c>
      <c r="BD212">
        <v>0</v>
      </c>
      <c r="BE212">
        <v>0</v>
      </c>
      <c r="BF212">
        <v>0</v>
      </c>
      <c r="BG212">
        <v>0</v>
      </c>
      <c r="BH212" t="s">
        <v>270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100</v>
      </c>
      <c r="BO212">
        <v>0</v>
      </c>
      <c r="BP212">
        <v>0</v>
      </c>
      <c r="BQ212">
        <v>0</v>
      </c>
      <c r="BR212">
        <v>0</v>
      </c>
      <c r="BS212">
        <v>0</v>
      </c>
      <c r="BT212" t="s">
        <v>271</v>
      </c>
      <c r="BU212">
        <v>100</v>
      </c>
      <c r="BV212">
        <v>0</v>
      </c>
      <c r="BW212" t="s">
        <v>268</v>
      </c>
      <c r="BX212" t="s">
        <v>272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100</v>
      </c>
      <c r="CE212">
        <v>0</v>
      </c>
      <c r="CF212">
        <v>0</v>
      </c>
      <c r="CG212">
        <v>0</v>
      </c>
      <c r="CH212">
        <v>0</v>
      </c>
      <c r="CI212">
        <v>0</v>
      </c>
      <c r="CJ212" t="s">
        <v>273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100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100</v>
      </c>
      <c r="CW212" t="s">
        <v>274</v>
      </c>
      <c r="CX212" t="s">
        <v>268</v>
      </c>
      <c r="CY212">
        <v>0</v>
      </c>
    </row>
    <row r="213" spans="5:103" x14ac:dyDescent="0.2">
      <c r="E213">
        <v>0</v>
      </c>
      <c r="F213" t="s">
        <v>155</v>
      </c>
      <c r="G213">
        <v>0</v>
      </c>
      <c r="H213" t="s">
        <v>155</v>
      </c>
      <c r="AL213">
        <v>0</v>
      </c>
      <c r="AM213">
        <v>0.3</v>
      </c>
      <c r="AN213">
        <v>0.3</v>
      </c>
      <c r="AO213">
        <v>0.4</v>
      </c>
      <c r="AP213" t="s">
        <v>268</v>
      </c>
      <c r="AQ213">
        <v>0.3</v>
      </c>
      <c r="AR213">
        <v>0.3</v>
      </c>
      <c r="AS213">
        <v>0.2</v>
      </c>
      <c r="AT213">
        <v>0.2</v>
      </c>
      <c r="AU213" t="s">
        <v>268</v>
      </c>
      <c r="AV213" t="s">
        <v>34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100</v>
      </c>
      <c r="BC213">
        <v>0</v>
      </c>
      <c r="BD213">
        <v>0</v>
      </c>
      <c r="BE213">
        <v>0</v>
      </c>
      <c r="BF213">
        <v>0</v>
      </c>
      <c r="BG213">
        <v>0</v>
      </c>
      <c r="BH213" t="s">
        <v>270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100</v>
      </c>
      <c r="BO213">
        <v>0</v>
      </c>
      <c r="BP213">
        <v>0</v>
      </c>
      <c r="BQ213">
        <v>0</v>
      </c>
      <c r="BR213">
        <v>0</v>
      </c>
      <c r="BS213">
        <v>0</v>
      </c>
      <c r="BT213" t="s">
        <v>271</v>
      </c>
      <c r="BU213">
        <v>100</v>
      </c>
      <c r="BV213">
        <v>0</v>
      </c>
      <c r="BW213" t="s">
        <v>268</v>
      </c>
      <c r="BX213" t="s">
        <v>272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100</v>
      </c>
      <c r="CE213">
        <v>0</v>
      </c>
      <c r="CF213">
        <v>0</v>
      </c>
      <c r="CG213">
        <v>0</v>
      </c>
      <c r="CH213">
        <v>0</v>
      </c>
      <c r="CI213">
        <v>0</v>
      </c>
      <c r="CJ213" t="s">
        <v>273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100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100</v>
      </c>
      <c r="CW213" t="s">
        <v>274</v>
      </c>
      <c r="CX213" t="s">
        <v>268</v>
      </c>
      <c r="CY213">
        <v>0</v>
      </c>
    </row>
    <row r="214" spans="5:103" x14ac:dyDescent="0.2">
      <c r="E214">
        <v>0</v>
      </c>
      <c r="F214" t="s">
        <v>155</v>
      </c>
      <c r="G214">
        <v>0</v>
      </c>
      <c r="H214" t="s">
        <v>155</v>
      </c>
      <c r="AL214">
        <v>0</v>
      </c>
      <c r="AM214">
        <v>0.3</v>
      </c>
      <c r="AN214">
        <v>0.3</v>
      </c>
      <c r="AO214">
        <v>0.4</v>
      </c>
      <c r="AP214" t="s">
        <v>268</v>
      </c>
      <c r="AQ214">
        <v>0.3</v>
      </c>
      <c r="AR214">
        <v>0.3</v>
      </c>
      <c r="AS214">
        <v>0.2</v>
      </c>
      <c r="AT214">
        <v>0.2</v>
      </c>
      <c r="AU214" t="s">
        <v>268</v>
      </c>
      <c r="AV214" t="s">
        <v>34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100</v>
      </c>
      <c r="BC214">
        <v>0</v>
      </c>
      <c r="BD214">
        <v>0</v>
      </c>
      <c r="BE214">
        <v>0</v>
      </c>
      <c r="BF214">
        <v>0</v>
      </c>
      <c r="BG214">
        <v>0</v>
      </c>
      <c r="BH214" t="s">
        <v>270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100</v>
      </c>
      <c r="BO214">
        <v>0</v>
      </c>
      <c r="BP214">
        <v>0</v>
      </c>
      <c r="BQ214">
        <v>0</v>
      </c>
      <c r="BR214">
        <v>0</v>
      </c>
      <c r="BS214">
        <v>0</v>
      </c>
      <c r="BT214" t="s">
        <v>271</v>
      </c>
      <c r="BU214">
        <v>100</v>
      </c>
      <c r="BV214">
        <v>0</v>
      </c>
      <c r="BW214" t="s">
        <v>268</v>
      </c>
      <c r="BX214" t="s">
        <v>272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100</v>
      </c>
      <c r="CE214">
        <v>0</v>
      </c>
      <c r="CF214">
        <v>0</v>
      </c>
      <c r="CG214">
        <v>0</v>
      </c>
      <c r="CH214">
        <v>0</v>
      </c>
      <c r="CI214">
        <v>0</v>
      </c>
      <c r="CJ214" t="s">
        <v>273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100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100</v>
      </c>
      <c r="CW214" t="s">
        <v>274</v>
      </c>
      <c r="CX214" t="s">
        <v>268</v>
      </c>
      <c r="CY214">
        <v>0</v>
      </c>
    </row>
    <row r="215" spans="5:103" x14ac:dyDescent="0.2">
      <c r="E215">
        <v>0</v>
      </c>
      <c r="F215" t="s">
        <v>155</v>
      </c>
      <c r="G215">
        <v>0</v>
      </c>
      <c r="H215" t="s">
        <v>155</v>
      </c>
      <c r="AL215">
        <v>0</v>
      </c>
      <c r="AM215">
        <v>0.3</v>
      </c>
      <c r="AN215">
        <v>0.3</v>
      </c>
      <c r="AO215">
        <v>0.4</v>
      </c>
      <c r="AP215" t="s">
        <v>268</v>
      </c>
      <c r="AQ215">
        <v>0.3</v>
      </c>
      <c r="AR215">
        <v>0.3</v>
      </c>
      <c r="AS215">
        <v>0.2</v>
      </c>
      <c r="AT215">
        <v>0.2</v>
      </c>
      <c r="AU215" t="s">
        <v>268</v>
      </c>
      <c r="AV215" t="s">
        <v>34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100</v>
      </c>
      <c r="BC215">
        <v>0</v>
      </c>
      <c r="BD215">
        <v>0</v>
      </c>
      <c r="BE215">
        <v>0</v>
      </c>
      <c r="BF215">
        <v>0</v>
      </c>
      <c r="BG215">
        <v>0</v>
      </c>
      <c r="BH215" t="s">
        <v>270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100</v>
      </c>
      <c r="BO215">
        <v>0</v>
      </c>
      <c r="BP215">
        <v>0</v>
      </c>
      <c r="BQ215">
        <v>0</v>
      </c>
      <c r="BR215">
        <v>0</v>
      </c>
      <c r="BS215">
        <v>0</v>
      </c>
      <c r="BT215" t="s">
        <v>271</v>
      </c>
      <c r="BU215">
        <v>100</v>
      </c>
      <c r="BV215">
        <v>0</v>
      </c>
      <c r="BW215" t="s">
        <v>268</v>
      </c>
      <c r="BX215" t="s">
        <v>272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100</v>
      </c>
      <c r="CE215">
        <v>0</v>
      </c>
      <c r="CF215">
        <v>0</v>
      </c>
      <c r="CG215">
        <v>0</v>
      </c>
      <c r="CH215">
        <v>0</v>
      </c>
      <c r="CI215">
        <v>0</v>
      </c>
      <c r="CJ215" t="s">
        <v>273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100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100</v>
      </c>
      <c r="CW215" t="s">
        <v>274</v>
      </c>
      <c r="CX215" t="s">
        <v>268</v>
      </c>
      <c r="CY215">
        <v>0</v>
      </c>
    </row>
    <row r="216" spans="5:103" x14ac:dyDescent="0.2">
      <c r="E216">
        <v>0</v>
      </c>
      <c r="F216" t="s">
        <v>155</v>
      </c>
      <c r="G216">
        <v>0</v>
      </c>
      <c r="H216" t="s">
        <v>155</v>
      </c>
      <c r="AL216">
        <v>0</v>
      </c>
      <c r="AM216">
        <v>0.3</v>
      </c>
      <c r="AN216">
        <v>0.3</v>
      </c>
      <c r="AO216">
        <v>0.4</v>
      </c>
      <c r="AP216" t="s">
        <v>268</v>
      </c>
      <c r="AQ216">
        <v>0.3</v>
      </c>
      <c r="AR216">
        <v>0.3</v>
      </c>
      <c r="AS216">
        <v>0.2</v>
      </c>
      <c r="AT216">
        <v>0.2</v>
      </c>
      <c r="AU216" t="s">
        <v>268</v>
      </c>
      <c r="AV216" t="s">
        <v>34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100</v>
      </c>
      <c r="BC216">
        <v>0</v>
      </c>
      <c r="BD216">
        <v>0</v>
      </c>
      <c r="BE216">
        <v>0</v>
      </c>
      <c r="BF216">
        <v>0</v>
      </c>
      <c r="BG216">
        <v>0</v>
      </c>
      <c r="BH216" t="s">
        <v>270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100</v>
      </c>
      <c r="BO216">
        <v>0</v>
      </c>
      <c r="BP216">
        <v>0</v>
      </c>
      <c r="BQ216">
        <v>0</v>
      </c>
      <c r="BR216">
        <v>0</v>
      </c>
      <c r="BS216">
        <v>0</v>
      </c>
      <c r="BT216" t="s">
        <v>271</v>
      </c>
      <c r="BU216">
        <v>100</v>
      </c>
      <c r="BV216">
        <v>0</v>
      </c>
      <c r="BW216" t="s">
        <v>268</v>
      </c>
      <c r="BX216" t="s">
        <v>272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100</v>
      </c>
      <c r="CE216">
        <v>0</v>
      </c>
      <c r="CF216">
        <v>0</v>
      </c>
      <c r="CG216">
        <v>0</v>
      </c>
      <c r="CH216">
        <v>0</v>
      </c>
      <c r="CI216">
        <v>0</v>
      </c>
      <c r="CJ216" t="s">
        <v>273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100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100</v>
      </c>
      <c r="CW216" t="s">
        <v>274</v>
      </c>
      <c r="CX216" t="s">
        <v>268</v>
      </c>
      <c r="CY216">
        <v>0</v>
      </c>
    </row>
    <row r="217" spans="5:103" x14ac:dyDescent="0.2">
      <c r="E217">
        <v>0</v>
      </c>
      <c r="F217" t="s">
        <v>155</v>
      </c>
      <c r="G217">
        <v>0</v>
      </c>
      <c r="H217" t="s">
        <v>155</v>
      </c>
      <c r="AL217">
        <v>0</v>
      </c>
      <c r="AM217">
        <v>0.3</v>
      </c>
      <c r="AN217">
        <v>0.3</v>
      </c>
      <c r="AO217">
        <v>0.4</v>
      </c>
      <c r="AP217" t="s">
        <v>268</v>
      </c>
      <c r="AQ217">
        <v>0.3</v>
      </c>
      <c r="AR217">
        <v>0.3</v>
      </c>
      <c r="AS217">
        <v>0.2</v>
      </c>
      <c r="AT217">
        <v>0.2</v>
      </c>
      <c r="AU217" t="s">
        <v>268</v>
      </c>
      <c r="AV217" t="s">
        <v>34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100</v>
      </c>
      <c r="BC217">
        <v>0</v>
      </c>
      <c r="BD217">
        <v>0</v>
      </c>
      <c r="BE217">
        <v>0</v>
      </c>
      <c r="BF217">
        <v>0</v>
      </c>
      <c r="BG217">
        <v>0</v>
      </c>
      <c r="BH217" t="s">
        <v>270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100</v>
      </c>
      <c r="BO217">
        <v>0</v>
      </c>
      <c r="BP217">
        <v>0</v>
      </c>
      <c r="BQ217">
        <v>0</v>
      </c>
      <c r="BR217">
        <v>0</v>
      </c>
      <c r="BS217">
        <v>0</v>
      </c>
      <c r="BT217" t="s">
        <v>271</v>
      </c>
      <c r="BU217">
        <v>100</v>
      </c>
      <c r="BV217">
        <v>0</v>
      </c>
      <c r="BW217" t="s">
        <v>268</v>
      </c>
      <c r="BX217" t="s">
        <v>272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100</v>
      </c>
      <c r="CE217">
        <v>0</v>
      </c>
      <c r="CF217">
        <v>0</v>
      </c>
      <c r="CG217">
        <v>0</v>
      </c>
      <c r="CH217">
        <v>0</v>
      </c>
      <c r="CI217">
        <v>0</v>
      </c>
      <c r="CJ217" t="s">
        <v>273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100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100</v>
      </c>
      <c r="CW217" t="s">
        <v>274</v>
      </c>
      <c r="CX217" t="s">
        <v>268</v>
      </c>
      <c r="CY217">
        <v>0</v>
      </c>
    </row>
    <row r="218" spans="5:103" x14ac:dyDescent="0.2">
      <c r="E218">
        <v>0</v>
      </c>
      <c r="F218" t="s">
        <v>155</v>
      </c>
      <c r="G218">
        <v>0</v>
      </c>
      <c r="H218" t="s">
        <v>155</v>
      </c>
      <c r="AL218">
        <v>0</v>
      </c>
      <c r="AM218">
        <v>0.3</v>
      </c>
      <c r="AN218">
        <v>0.3</v>
      </c>
      <c r="AO218">
        <v>0.4</v>
      </c>
      <c r="AP218" t="s">
        <v>268</v>
      </c>
      <c r="AQ218">
        <v>0.3</v>
      </c>
      <c r="AR218">
        <v>0.3</v>
      </c>
      <c r="AS218">
        <v>0.2</v>
      </c>
      <c r="AT218">
        <v>0.2</v>
      </c>
      <c r="AU218" t="s">
        <v>268</v>
      </c>
      <c r="AV218" t="s">
        <v>34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100</v>
      </c>
      <c r="BC218">
        <v>0</v>
      </c>
      <c r="BD218">
        <v>0</v>
      </c>
      <c r="BE218">
        <v>0</v>
      </c>
      <c r="BF218">
        <v>0</v>
      </c>
      <c r="BG218">
        <v>0</v>
      </c>
      <c r="BH218" t="s">
        <v>270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100</v>
      </c>
      <c r="BO218">
        <v>0</v>
      </c>
      <c r="BP218">
        <v>0</v>
      </c>
      <c r="BQ218">
        <v>0</v>
      </c>
      <c r="BR218">
        <v>0</v>
      </c>
      <c r="BS218">
        <v>0</v>
      </c>
      <c r="BT218" t="s">
        <v>271</v>
      </c>
      <c r="BU218">
        <v>100</v>
      </c>
      <c r="BV218">
        <v>0</v>
      </c>
      <c r="BW218" t="s">
        <v>268</v>
      </c>
      <c r="BX218" t="s">
        <v>272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100</v>
      </c>
      <c r="CE218">
        <v>0</v>
      </c>
      <c r="CF218">
        <v>0</v>
      </c>
      <c r="CG218">
        <v>0</v>
      </c>
      <c r="CH218">
        <v>0</v>
      </c>
      <c r="CI218">
        <v>0</v>
      </c>
      <c r="CJ218" t="s">
        <v>273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100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100</v>
      </c>
      <c r="CW218" t="s">
        <v>274</v>
      </c>
      <c r="CX218" t="s">
        <v>268</v>
      </c>
      <c r="CY218">
        <v>0</v>
      </c>
    </row>
    <row r="219" spans="5:103" x14ac:dyDescent="0.2">
      <c r="E219">
        <v>0</v>
      </c>
      <c r="F219" t="s">
        <v>155</v>
      </c>
      <c r="G219">
        <v>0</v>
      </c>
      <c r="H219" t="s">
        <v>155</v>
      </c>
      <c r="AL219">
        <v>0</v>
      </c>
      <c r="AM219">
        <v>0.3</v>
      </c>
      <c r="AN219">
        <v>0.3</v>
      </c>
      <c r="AO219">
        <v>0.4</v>
      </c>
      <c r="AP219" t="s">
        <v>268</v>
      </c>
      <c r="AQ219">
        <v>0.3</v>
      </c>
      <c r="AR219">
        <v>0.3</v>
      </c>
      <c r="AS219">
        <v>0.2</v>
      </c>
      <c r="AT219">
        <v>0.2</v>
      </c>
      <c r="AU219" t="s">
        <v>268</v>
      </c>
      <c r="AV219" t="s">
        <v>34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100</v>
      </c>
      <c r="BC219">
        <v>0</v>
      </c>
      <c r="BD219">
        <v>0</v>
      </c>
      <c r="BE219">
        <v>0</v>
      </c>
      <c r="BF219">
        <v>0</v>
      </c>
      <c r="BG219">
        <v>0</v>
      </c>
      <c r="BH219" t="s">
        <v>270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100</v>
      </c>
      <c r="BO219">
        <v>0</v>
      </c>
      <c r="BP219">
        <v>0</v>
      </c>
      <c r="BQ219">
        <v>0</v>
      </c>
      <c r="BR219">
        <v>0</v>
      </c>
      <c r="BS219">
        <v>0</v>
      </c>
      <c r="BT219" t="s">
        <v>271</v>
      </c>
      <c r="BU219">
        <v>100</v>
      </c>
      <c r="BV219">
        <v>0</v>
      </c>
      <c r="BW219" t="s">
        <v>268</v>
      </c>
      <c r="BX219" t="s">
        <v>272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100</v>
      </c>
      <c r="CE219">
        <v>0</v>
      </c>
      <c r="CF219">
        <v>0</v>
      </c>
      <c r="CG219">
        <v>0</v>
      </c>
      <c r="CH219">
        <v>0</v>
      </c>
      <c r="CI219">
        <v>0</v>
      </c>
      <c r="CJ219" t="s">
        <v>273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100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100</v>
      </c>
      <c r="CW219" t="s">
        <v>274</v>
      </c>
      <c r="CX219" t="s">
        <v>268</v>
      </c>
      <c r="CY219">
        <v>0</v>
      </c>
    </row>
    <row r="220" spans="5:103" x14ac:dyDescent="0.2">
      <c r="E220">
        <v>0</v>
      </c>
      <c r="F220" t="s">
        <v>155</v>
      </c>
      <c r="G220">
        <v>0</v>
      </c>
      <c r="H220" t="s">
        <v>155</v>
      </c>
      <c r="AL220">
        <v>0</v>
      </c>
      <c r="AM220">
        <v>0.3</v>
      </c>
      <c r="AN220">
        <v>0.3</v>
      </c>
      <c r="AO220">
        <v>0.4</v>
      </c>
      <c r="AP220" t="s">
        <v>268</v>
      </c>
      <c r="AQ220">
        <v>0.3</v>
      </c>
      <c r="AR220">
        <v>0.3</v>
      </c>
      <c r="AS220">
        <v>0.2</v>
      </c>
      <c r="AT220">
        <v>0.2</v>
      </c>
      <c r="AU220" t="s">
        <v>268</v>
      </c>
      <c r="AV220" t="s">
        <v>34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100</v>
      </c>
      <c r="BC220">
        <v>0</v>
      </c>
      <c r="BD220">
        <v>0</v>
      </c>
      <c r="BE220">
        <v>0</v>
      </c>
      <c r="BF220">
        <v>0</v>
      </c>
      <c r="BG220">
        <v>0</v>
      </c>
      <c r="BH220" t="s">
        <v>270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100</v>
      </c>
      <c r="BO220">
        <v>0</v>
      </c>
      <c r="BP220">
        <v>0</v>
      </c>
      <c r="BQ220">
        <v>0</v>
      </c>
      <c r="BR220">
        <v>0</v>
      </c>
      <c r="BS220">
        <v>0</v>
      </c>
      <c r="BT220" t="s">
        <v>271</v>
      </c>
      <c r="BU220">
        <v>100</v>
      </c>
      <c r="BV220">
        <v>0</v>
      </c>
      <c r="BW220" t="s">
        <v>268</v>
      </c>
      <c r="BX220" t="s">
        <v>272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100</v>
      </c>
      <c r="CE220">
        <v>0</v>
      </c>
      <c r="CF220">
        <v>0</v>
      </c>
      <c r="CG220">
        <v>0</v>
      </c>
      <c r="CH220">
        <v>0</v>
      </c>
      <c r="CI220">
        <v>0</v>
      </c>
      <c r="CJ220" t="s">
        <v>273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100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100</v>
      </c>
      <c r="CW220" t="s">
        <v>274</v>
      </c>
      <c r="CX220" t="s">
        <v>268</v>
      </c>
      <c r="CY220">
        <v>0</v>
      </c>
    </row>
    <row r="221" spans="5:103" x14ac:dyDescent="0.2">
      <c r="E221">
        <v>0</v>
      </c>
      <c r="F221" t="s">
        <v>155</v>
      </c>
      <c r="G221">
        <v>0</v>
      </c>
      <c r="H221" t="s">
        <v>155</v>
      </c>
      <c r="AL221">
        <v>0</v>
      </c>
      <c r="AM221">
        <v>0.3</v>
      </c>
      <c r="AN221">
        <v>0.3</v>
      </c>
      <c r="AO221">
        <v>0.4</v>
      </c>
      <c r="AP221" t="s">
        <v>268</v>
      </c>
      <c r="AQ221">
        <v>0.3</v>
      </c>
      <c r="AR221">
        <v>0.3</v>
      </c>
      <c r="AS221">
        <v>0.2</v>
      </c>
      <c r="AT221">
        <v>0.2</v>
      </c>
      <c r="AU221" t="s">
        <v>268</v>
      </c>
      <c r="AV221" t="s">
        <v>34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100</v>
      </c>
      <c r="BC221">
        <v>0</v>
      </c>
      <c r="BD221">
        <v>0</v>
      </c>
      <c r="BE221">
        <v>0</v>
      </c>
      <c r="BF221">
        <v>0</v>
      </c>
      <c r="BG221">
        <v>0</v>
      </c>
      <c r="BH221" t="s">
        <v>270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100</v>
      </c>
      <c r="BO221">
        <v>0</v>
      </c>
      <c r="BP221">
        <v>0</v>
      </c>
      <c r="BQ221">
        <v>0</v>
      </c>
      <c r="BR221">
        <v>0</v>
      </c>
      <c r="BS221">
        <v>0</v>
      </c>
      <c r="BT221" t="s">
        <v>271</v>
      </c>
      <c r="BU221">
        <v>100</v>
      </c>
      <c r="BV221">
        <v>0</v>
      </c>
      <c r="BW221" t="s">
        <v>268</v>
      </c>
      <c r="BX221" t="s">
        <v>272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100</v>
      </c>
      <c r="CE221">
        <v>0</v>
      </c>
      <c r="CF221">
        <v>0</v>
      </c>
      <c r="CG221">
        <v>0</v>
      </c>
      <c r="CH221">
        <v>0</v>
      </c>
      <c r="CI221">
        <v>0</v>
      </c>
      <c r="CJ221" t="s">
        <v>273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100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100</v>
      </c>
      <c r="CW221" t="s">
        <v>274</v>
      </c>
      <c r="CX221" t="s">
        <v>268</v>
      </c>
      <c r="CY221">
        <v>0</v>
      </c>
    </row>
    <row r="222" spans="5:103" x14ac:dyDescent="0.2">
      <c r="E222">
        <v>0</v>
      </c>
      <c r="F222" t="s">
        <v>155</v>
      </c>
      <c r="G222">
        <v>0</v>
      </c>
      <c r="H222" t="s">
        <v>155</v>
      </c>
      <c r="AL222">
        <v>0</v>
      </c>
      <c r="AM222">
        <v>0.3</v>
      </c>
      <c r="AN222">
        <v>0.3</v>
      </c>
      <c r="AO222">
        <v>0.4</v>
      </c>
      <c r="AP222" t="s">
        <v>268</v>
      </c>
      <c r="AQ222">
        <v>0.3</v>
      </c>
      <c r="AR222">
        <v>0.3</v>
      </c>
      <c r="AS222">
        <v>0.2</v>
      </c>
      <c r="AT222">
        <v>0.2</v>
      </c>
      <c r="AU222" t="s">
        <v>268</v>
      </c>
      <c r="AV222" t="s">
        <v>34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100</v>
      </c>
      <c r="BC222">
        <v>0</v>
      </c>
      <c r="BD222">
        <v>0</v>
      </c>
      <c r="BE222">
        <v>0</v>
      </c>
      <c r="BF222">
        <v>0</v>
      </c>
      <c r="BG222">
        <v>0</v>
      </c>
      <c r="BH222" t="s">
        <v>270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100</v>
      </c>
      <c r="BO222">
        <v>0</v>
      </c>
      <c r="BP222">
        <v>0</v>
      </c>
      <c r="BQ222">
        <v>0</v>
      </c>
      <c r="BR222">
        <v>0</v>
      </c>
      <c r="BS222">
        <v>0</v>
      </c>
      <c r="BT222" t="s">
        <v>271</v>
      </c>
      <c r="BU222">
        <v>100</v>
      </c>
      <c r="BV222">
        <v>0</v>
      </c>
      <c r="BW222" t="s">
        <v>268</v>
      </c>
      <c r="BX222" t="s">
        <v>272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100</v>
      </c>
      <c r="CE222">
        <v>0</v>
      </c>
      <c r="CF222">
        <v>0</v>
      </c>
      <c r="CG222">
        <v>0</v>
      </c>
      <c r="CH222">
        <v>0</v>
      </c>
      <c r="CI222">
        <v>0</v>
      </c>
      <c r="CJ222" t="s">
        <v>273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100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100</v>
      </c>
      <c r="CW222" t="s">
        <v>274</v>
      </c>
      <c r="CX222" t="s">
        <v>268</v>
      </c>
      <c r="CY222">
        <v>0</v>
      </c>
    </row>
    <row r="223" spans="5:103" x14ac:dyDescent="0.2">
      <c r="E223">
        <v>0</v>
      </c>
      <c r="F223" t="s">
        <v>155</v>
      </c>
      <c r="G223">
        <v>0</v>
      </c>
      <c r="H223" t="s">
        <v>155</v>
      </c>
      <c r="AL223">
        <v>0</v>
      </c>
      <c r="AM223">
        <v>0.3</v>
      </c>
      <c r="AN223">
        <v>0.3</v>
      </c>
      <c r="AO223">
        <v>0.4</v>
      </c>
      <c r="AP223" t="s">
        <v>268</v>
      </c>
      <c r="AQ223">
        <v>0.3</v>
      </c>
      <c r="AR223">
        <v>0.3</v>
      </c>
      <c r="AS223">
        <v>0.2</v>
      </c>
      <c r="AT223">
        <v>0.2</v>
      </c>
      <c r="AU223" t="s">
        <v>268</v>
      </c>
      <c r="AV223" t="s">
        <v>34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100</v>
      </c>
      <c r="BC223">
        <v>0</v>
      </c>
      <c r="BD223">
        <v>0</v>
      </c>
      <c r="BE223">
        <v>0</v>
      </c>
      <c r="BF223">
        <v>0</v>
      </c>
      <c r="BG223">
        <v>0</v>
      </c>
      <c r="BH223" t="s">
        <v>270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100</v>
      </c>
      <c r="BO223">
        <v>0</v>
      </c>
      <c r="BP223">
        <v>0</v>
      </c>
      <c r="BQ223">
        <v>0</v>
      </c>
      <c r="BR223">
        <v>0</v>
      </c>
      <c r="BS223">
        <v>0</v>
      </c>
      <c r="BT223" t="s">
        <v>271</v>
      </c>
      <c r="BU223">
        <v>100</v>
      </c>
      <c r="BV223">
        <v>0</v>
      </c>
      <c r="BW223" t="s">
        <v>268</v>
      </c>
      <c r="BX223" t="s">
        <v>272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100</v>
      </c>
      <c r="CE223">
        <v>0</v>
      </c>
      <c r="CF223">
        <v>0</v>
      </c>
      <c r="CG223">
        <v>0</v>
      </c>
      <c r="CH223">
        <v>0</v>
      </c>
      <c r="CI223">
        <v>0</v>
      </c>
      <c r="CJ223" t="s">
        <v>273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100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100</v>
      </c>
      <c r="CW223" t="s">
        <v>274</v>
      </c>
      <c r="CX223" t="s">
        <v>268</v>
      </c>
      <c r="CY223">
        <v>0</v>
      </c>
    </row>
    <row r="224" spans="5:103" x14ac:dyDescent="0.2">
      <c r="E224">
        <v>0</v>
      </c>
      <c r="F224" t="s">
        <v>155</v>
      </c>
      <c r="G224">
        <v>0</v>
      </c>
      <c r="H224" t="s">
        <v>155</v>
      </c>
      <c r="AL224">
        <v>0</v>
      </c>
      <c r="AM224">
        <v>0.3</v>
      </c>
      <c r="AN224">
        <v>0.3</v>
      </c>
      <c r="AO224">
        <v>0.4</v>
      </c>
      <c r="AP224" t="s">
        <v>268</v>
      </c>
      <c r="AQ224">
        <v>0.3</v>
      </c>
      <c r="AR224">
        <v>0.3</v>
      </c>
      <c r="AS224">
        <v>0.2</v>
      </c>
      <c r="AT224">
        <v>0.2</v>
      </c>
      <c r="AU224" t="s">
        <v>268</v>
      </c>
      <c r="AV224" t="s">
        <v>34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100</v>
      </c>
      <c r="BC224">
        <v>0</v>
      </c>
      <c r="BD224">
        <v>0</v>
      </c>
      <c r="BE224">
        <v>0</v>
      </c>
      <c r="BF224">
        <v>0</v>
      </c>
      <c r="BG224">
        <v>0</v>
      </c>
      <c r="BH224" t="s">
        <v>270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100</v>
      </c>
      <c r="BO224">
        <v>0</v>
      </c>
      <c r="BP224">
        <v>0</v>
      </c>
      <c r="BQ224">
        <v>0</v>
      </c>
      <c r="BR224">
        <v>0</v>
      </c>
      <c r="BS224">
        <v>0</v>
      </c>
      <c r="BT224" t="s">
        <v>271</v>
      </c>
      <c r="BU224">
        <v>100</v>
      </c>
      <c r="BV224">
        <v>0</v>
      </c>
      <c r="BW224" t="s">
        <v>268</v>
      </c>
      <c r="BX224" t="s">
        <v>272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100</v>
      </c>
      <c r="CE224">
        <v>0</v>
      </c>
      <c r="CF224">
        <v>0</v>
      </c>
      <c r="CG224">
        <v>0</v>
      </c>
      <c r="CH224">
        <v>0</v>
      </c>
      <c r="CI224">
        <v>0</v>
      </c>
      <c r="CJ224" t="s">
        <v>273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100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100</v>
      </c>
      <c r="CW224" t="s">
        <v>274</v>
      </c>
      <c r="CX224" t="s">
        <v>268</v>
      </c>
      <c r="CY224">
        <v>0</v>
      </c>
    </row>
    <row r="225" spans="5:103" x14ac:dyDescent="0.2">
      <c r="E225">
        <v>0</v>
      </c>
      <c r="F225" t="s">
        <v>155</v>
      </c>
      <c r="G225">
        <v>0</v>
      </c>
      <c r="H225" t="s">
        <v>155</v>
      </c>
      <c r="AL225">
        <v>0</v>
      </c>
      <c r="AM225">
        <v>0.3</v>
      </c>
      <c r="AN225">
        <v>0.3</v>
      </c>
      <c r="AO225">
        <v>0.4</v>
      </c>
      <c r="AP225" t="s">
        <v>268</v>
      </c>
      <c r="AQ225">
        <v>0.3</v>
      </c>
      <c r="AR225">
        <v>0.3</v>
      </c>
      <c r="AS225">
        <v>0.2</v>
      </c>
      <c r="AT225">
        <v>0.2</v>
      </c>
      <c r="AU225" t="s">
        <v>268</v>
      </c>
      <c r="AV225" t="s">
        <v>34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100</v>
      </c>
      <c r="BC225">
        <v>0</v>
      </c>
      <c r="BD225">
        <v>0</v>
      </c>
      <c r="BE225">
        <v>0</v>
      </c>
      <c r="BF225">
        <v>0</v>
      </c>
      <c r="BG225">
        <v>0</v>
      </c>
      <c r="BH225" t="s">
        <v>270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100</v>
      </c>
      <c r="BO225">
        <v>0</v>
      </c>
      <c r="BP225">
        <v>0</v>
      </c>
      <c r="BQ225">
        <v>0</v>
      </c>
      <c r="BR225">
        <v>0</v>
      </c>
      <c r="BS225">
        <v>0</v>
      </c>
      <c r="BT225" t="s">
        <v>271</v>
      </c>
      <c r="BU225">
        <v>100</v>
      </c>
      <c r="BV225">
        <v>0</v>
      </c>
      <c r="BW225" t="s">
        <v>268</v>
      </c>
      <c r="BX225" t="s">
        <v>272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100</v>
      </c>
      <c r="CE225">
        <v>0</v>
      </c>
      <c r="CF225">
        <v>0</v>
      </c>
      <c r="CG225">
        <v>0</v>
      </c>
      <c r="CH225">
        <v>0</v>
      </c>
      <c r="CI225">
        <v>0</v>
      </c>
      <c r="CJ225" t="s">
        <v>273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100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100</v>
      </c>
      <c r="CW225" t="s">
        <v>274</v>
      </c>
      <c r="CX225" t="s">
        <v>268</v>
      </c>
      <c r="CY225">
        <v>0</v>
      </c>
    </row>
    <row r="226" spans="5:103" x14ac:dyDescent="0.2">
      <c r="E226">
        <v>0</v>
      </c>
      <c r="F226" t="s">
        <v>155</v>
      </c>
      <c r="G226">
        <v>0</v>
      </c>
      <c r="H226" t="s">
        <v>155</v>
      </c>
      <c r="AL226">
        <v>0</v>
      </c>
      <c r="AM226">
        <v>0.3</v>
      </c>
      <c r="AN226">
        <v>0.3</v>
      </c>
      <c r="AO226">
        <v>0.4</v>
      </c>
      <c r="AP226" t="s">
        <v>268</v>
      </c>
      <c r="AQ226">
        <v>0.3</v>
      </c>
      <c r="AR226">
        <v>0.3</v>
      </c>
      <c r="AS226">
        <v>0.2</v>
      </c>
      <c r="AT226">
        <v>0.2</v>
      </c>
      <c r="AU226" t="s">
        <v>268</v>
      </c>
      <c r="AV226" t="s">
        <v>34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100</v>
      </c>
      <c r="BC226">
        <v>0</v>
      </c>
      <c r="BD226">
        <v>0</v>
      </c>
      <c r="BE226">
        <v>0</v>
      </c>
      <c r="BF226">
        <v>0</v>
      </c>
      <c r="BG226">
        <v>0</v>
      </c>
      <c r="BH226" t="s">
        <v>270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100</v>
      </c>
      <c r="BO226">
        <v>0</v>
      </c>
      <c r="BP226">
        <v>0</v>
      </c>
      <c r="BQ226">
        <v>0</v>
      </c>
      <c r="BR226">
        <v>0</v>
      </c>
      <c r="BS226">
        <v>0</v>
      </c>
      <c r="BT226" t="s">
        <v>271</v>
      </c>
      <c r="BU226">
        <v>100</v>
      </c>
      <c r="BV226">
        <v>0</v>
      </c>
      <c r="BW226" t="s">
        <v>268</v>
      </c>
      <c r="BX226" t="s">
        <v>272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100</v>
      </c>
      <c r="CE226">
        <v>0</v>
      </c>
      <c r="CF226">
        <v>0</v>
      </c>
      <c r="CG226">
        <v>0</v>
      </c>
      <c r="CH226">
        <v>0</v>
      </c>
      <c r="CI226">
        <v>0</v>
      </c>
      <c r="CJ226" t="s">
        <v>273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100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100</v>
      </c>
      <c r="CW226" t="s">
        <v>274</v>
      </c>
      <c r="CX226" t="s">
        <v>268</v>
      </c>
      <c r="CY226">
        <v>0</v>
      </c>
    </row>
    <row r="227" spans="5:103" x14ac:dyDescent="0.2">
      <c r="E227">
        <v>0</v>
      </c>
      <c r="F227" t="s">
        <v>155</v>
      </c>
      <c r="G227">
        <v>0</v>
      </c>
      <c r="H227" t="s">
        <v>155</v>
      </c>
      <c r="AL227">
        <v>0</v>
      </c>
      <c r="AM227">
        <v>0.3</v>
      </c>
      <c r="AN227">
        <v>0.3</v>
      </c>
      <c r="AO227">
        <v>0.4</v>
      </c>
      <c r="AP227" t="s">
        <v>268</v>
      </c>
      <c r="AQ227">
        <v>0.3</v>
      </c>
      <c r="AR227">
        <v>0.3</v>
      </c>
      <c r="AS227">
        <v>0.2</v>
      </c>
      <c r="AT227">
        <v>0.2</v>
      </c>
      <c r="AU227" t="s">
        <v>268</v>
      </c>
      <c r="AV227" t="s">
        <v>34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100</v>
      </c>
      <c r="BC227">
        <v>0</v>
      </c>
      <c r="BD227">
        <v>0</v>
      </c>
      <c r="BE227">
        <v>0</v>
      </c>
      <c r="BF227">
        <v>0</v>
      </c>
      <c r="BG227">
        <v>0</v>
      </c>
      <c r="BH227" t="s">
        <v>270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100</v>
      </c>
      <c r="BO227">
        <v>0</v>
      </c>
      <c r="BP227">
        <v>0</v>
      </c>
      <c r="BQ227">
        <v>0</v>
      </c>
      <c r="BR227">
        <v>0</v>
      </c>
      <c r="BS227">
        <v>0</v>
      </c>
      <c r="BT227" t="s">
        <v>271</v>
      </c>
      <c r="BU227">
        <v>100</v>
      </c>
      <c r="BV227">
        <v>0</v>
      </c>
      <c r="BW227" t="s">
        <v>268</v>
      </c>
      <c r="BX227" t="s">
        <v>272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100</v>
      </c>
      <c r="CE227">
        <v>0</v>
      </c>
      <c r="CF227">
        <v>0</v>
      </c>
      <c r="CG227">
        <v>0</v>
      </c>
      <c r="CH227">
        <v>0</v>
      </c>
      <c r="CI227">
        <v>0</v>
      </c>
      <c r="CJ227" t="s">
        <v>273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100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100</v>
      </c>
      <c r="CW227" t="s">
        <v>274</v>
      </c>
      <c r="CX227" t="s">
        <v>268</v>
      </c>
      <c r="CY227">
        <v>0</v>
      </c>
    </row>
    <row r="228" spans="5:103" x14ac:dyDescent="0.2">
      <c r="E228">
        <v>0</v>
      </c>
      <c r="F228" t="s">
        <v>155</v>
      </c>
      <c r="G228">
        <v>0</v>
      </c>
      <c r="H228" t="s">
        <v>155</v>
      </c>
      <c r="AL228">
        <v>0</v>
      </c>
      <c r="AM228">
        <v>0.3</v>
      </c>
      <c r="AN228">
        <v>0.3</v>
      </c>
      <c r="AO228">
        <v>0.4</v>
      </c>
      <c r="AP228" t="s">
        <v>268</v>
      </c>
      <c r="AQ228">
        <v>0.3</v>
      </c>
      <c r="AR228">
        <v>0.3</v>
      </c>
      <c r="AS228">
        <v>0.2</v>
      </c>
      <c r="AT228">
        <v>0.2</v>
      </c>
      <c r="AU228" t="s">
        <v>268</v>
      </c>
      <c r="AV228" t="s">
        <v>34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100</v>
      </c>
      <c r="BC228">
        <v>0</v>
      </c>
      <c r="BD228">
        <v>0</v>
      </c>
      <c r="BE228">
        <v>0</v>
      </c>
      <c r="BF228">
        <v>0</v>
      </c>
      <c r="BG228">
        <v>0</v>
      </c>
      <c r="BH228" t="s">
        <v>270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100</v>
      </c>
      <c r="BO228">
        <v>0</v>
      </c>
      <c r="BP228">
        <v>0</v>
      </c>
      <c r="BQ228">
        <v>0</v>
      </c>
      <c r="BR228">
        <v>0</v>
      </c>
      <c r="BS228">
        <v>0</v>
      </c>
      <c r="BT228" t="s">
        <v>271</v>
      </c>
      <c r="BU228">
        <v>100</v>
      </c>
      <c r="BV228">
        <v>0</v>
      </c>
      <c r="BW228" t="s">
        <v>268</v>
      </c>
      <c r="BX228" t="s">
        <v>272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100</v>
      </c>
      <c r="CE228">
        <v>0</v>
      </c>
      <c r="CF228">
        <v>0</v>
      </c>
      <c r="CG228">
        <v>0</v>
      </c>
      <c r="CH228">
        <v>0</v>
      </c>
      <c r="CI228">
        <v>0</v>
      </c>
      <c r="CJ228" t="s">
        <v>273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100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100</v>
      </c>
      <c r="CW228" t="s">
        <v>274</v>
      </c>
      <c r="CX228" t="s">
        <v>268</v>
      </c>
      <c r="CY228">
        <v>0</v>
      </c>
    </row>
    <row r="229" spans="5:103" x14ac:dyDescent="0.2">
      <c r="E229">
        <v>0</v>
      </c>
      <c r="F229" t="s">
        <v>155</v>
      </c>
      <c r="G229">
        <v>0</v>
      </c>
      <c r="H229" t="s">
        <v>155</v>
      </c>
      <c r="AL229">
        <v>0</v>
      </c>
      <c r="AM229">
        <v>0.3</v>
      </c>
      <c r="AN229">
        <v>0.3</v>
      </c>
      <c r="AO229">
        <v>0.4</v>
      </c>
      <c r="AP229" t="s">
        <v>268</v>
      </c>
      <c r="AQ229">
        <v>0.3</v>
      </c>
      <c r="AR229">
        <v>0.3</v>
      </c>
      <c r="AS229">
        <v>0.2</v>
      </c>
      <c r="AT229">
        <v>0.2</v>
      </c>
      <c r="AU229" t="s">
        <v>268</v>
      </c>
      <c r="AV229" t="s">
        <v>34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100</v>
      </c>
      <c r="BC229">
        <v>0</v>
      </c>
      <c r="BD229">
        <v>0</v>
      </c>
      <c r="BE229">
        <v>0</v>
      </c>
      <c r="BF229">
        <v>0</v>
      </c>
      <c r="BG229">
        <v>0</v>
      </c>
      <c r="BH229" t="s">
        <v>270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100</v>
      </c>
      <c r="BO229">
        <v>0</v>
      </c>
      <c r="BP229">
        <v>0</v>
      </c>
      <c r="BQ229">
        <v>0</v>
      </c>
      <c r="BR229">
        <v>0</v>
      </c>
      <c r="BS229">
        <v>0</v>
      </c>
      <c r="BT229" t="s">
        <v>271</v>
      </c>
      <c r="BU229">
        <v>100</v>
      </c>
      <c r="BV229">
        <v>0</v>
      </c>
      <c r="BW229" t="s">
        <v>268</v>
      </c>
      <c r="BX229" t="s">
        <v>272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100</v>
      </c>
      <c r="CE229">
        <v>0</v>
      </c>
      <c r="CF229">
        <v>0</v>
      </c>
      <c r="CG229">
        <v>0</v>
      </c>
      <c r="CH229">
        <v>0</v>
      </c>
      <c r="CI229">
        <v>0</v>
      </c>
      <c r="CJ229" t="s">
        <v>273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100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100</v>
      </c>
      <c r="CW229" t="s">
        <v>274</v>
      </c>
      <c r="CX229" t="s">
        <v>268</v>
      </c>
      <c r="CY229">
        <v>0</v>
      </c>
    </row>
    <row r="230" spans="5:103" x14ac:dyDescent="0.2">
      <c r="E230">
        <v>0</v>
      </c>
      <c r="F230" t="s">
        <v>155</v>
      </c>
      <c r="G230">
        <v>0</v>
      </c>
      <c r="H230" t="s">
        <v>155</v>
      </c>
      <c r="AL230">
        <v>0</v>
      </c>
      <c r="AM230">
        <v>0.3</v>
      </c>
      <c r="AN230">
        <v>0.3</v>
      </c>
      <c r="AO230">
        <v>0.4</v>
      </c>
      <c r="AP230" t="s">
        <v>268</v>
      </c>
      <c r="AQ230">
        <v>0.3</v>
      </c>
      <c r="AR230">
        <v>0.3</v>
      </c>
      <c r="AS230">
        <v>0.2</v>
      </c>
      <c r="AT230">
        <v>0.2</v>
      </c>
      <c r="AU230" t="s">
        <v>268</v>
      </c>
      <c r="AV230" t="s">
        <v>34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100</v>
      </c>
      <c r="BC230">
        <v>0</v>
      </c>
      <c r="BD230">
        <v>0</v>
      </c>
      <c r="BE230">
        <v>0</v>
      </c>
      <c r="BF230">
        <v>0</v>
      </c>
      <c r="BG230">
        <v>0</v>
      </c>
      <c r="BH230" t="s">
        <v>270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100</v>
      </c>
      <c r="BO230">
        <v>0</v>
      </c>
      <c r="BP230">
        <v>0</v>
      </c>
      <c r="BQ230">
        <v>0</v>
      </c>
      <c r="BR230">
        <v>0</v>
      </c>
      <c r="BS230">
        <v>0</v>
      </c>
      <c r="BT230" t="s">
        <v>271</v>
      </c>
      <c r="BU230">
        <v>100</v>
      </c>
      <c r="BV230">
        <v>0</v>
      </c>
      <c r="BW230" t="s">
        <v>268</v>
      </c>
      <c r="BX230" t="s">
        <v>272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100</v>
      </c>
      <c r="CE230">
        <v>0</v>
      </c>
      <c r="CF230">
        <v>0</v>
      </c>
      <c r="CG230">
        <v>0</v>
      </c>
      <c r="CH230">
        <v>0</v>
      </c>
      <c r="CI230">
        <v>0</v>
      </c>
      <c r="CJ230" t="s">
        <v>273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100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100</v>
      </c>
      <c r="CW230" t="s">
        <v>274</v>
      </c>
      <c r="CX230" t="s">
        <v>268</v>
      </c>
      <c r="CY230">
        <v>0</v>
      </c>
    </row>
    <row r="231" spans="5:103" x14ac:dyDescent="0.2">
      <c r="E231">
        <v>0</v>
      </c>
      <c r="F231" t="s">
        <v>155</v>
      </c>
      <c r="G231">
        <v>0</v>
      </c>
      <c r="H231" t="s">
        <v>155</v>
      </c>
      <c r="AL231">
        <v>0</v>
      </c>
      <c r="AM231">
        <v>0.3</v>
      </c>
      <c r="AN231">
        <v>0.3</v>
      </c>
      <c r="AO231">
        <v>0.4</v>
      </c>
      <c r="AP231" t="s">
        <v>268</v>
      </c>
      <c r="AQ231">
        <v>0.3</v>
      </c>
      <c r="AR231">
        <v>0.3</v>
      </c>
      <c r="AS231">
        <v>0.2</v>
      </c>
      <c r="AT231">
        <v>0.2</v>
      </c>
      <c r="AU231" t="s">
        <v>268</v>
      </c>
      <c r="AV231" t="s">
        <v>34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100</v>
      </c>
      <c r="BC231">
        <v>0</v>
      </c>
      <c r="BD231">
        <v>0</v>
      </c>
      <c r="BE231">
        <v>0</v>
      </c>
      <c r="BF231">
        <v>0</v>
      </c>
      <c r="BG231">
        <v>0</v>
      </c>
      <c r="BH231" t="s">
        <v>270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100</v>
      </c>
      <c r="BO231">
        <v>0</v>
      </c>
      <c r="BP231">
        <v>0</v>
      </c>
      <c r="BQ231">
        <v>0</v>
      </c>
      <c r="BR231">
        <v>0</v>
      </c>
      <c r="BS231">
        <v>0</v>
      </c>
      <c r="BT231" t="s">
        <v>271</v>
      </c>
      <c r="BU231">
        <v>100</v>
      </c>
      <c r="BV231">
        <v>0</v>
      </c>
      <c r="BW231" t="s">
        <v>268</v>
      </c>
      <c r="BX231" t="s">
        <v>272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100</v>
      </c>
      <c r="CE231">
        <v>0</v>
      </c>
      <c r="CF231">
        <v>0</v>
      </c>
      <c r="CG231">
        <v>0</v>
      </c>
      <c r="CH231">
        <v>0</v>
      </c>
      <c r="CI231">
        <v>0</v>
      </c>
      <c r="CJ231" t="s">
        <v>273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100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100</v>
      </c>
      <c r="CW231" t="s">
        <v>274</v>
      </c>
      <c r="CX231" t="s">
        <v>268</v>
      </c>
      <c r="CY231">
        <v>0</v>
      </c>
    </row>
    <row r="232" spans="5:103" x14ac:dyDescent="0.2">
      <c r="E232">
        <v>0</v>
      </c>
      <c r="F232" t="s">
        <v>155</v>
      </c>
      <c r="G232">
        <v>0</v>
      </c>
      <c r="H232" t="s">
        <v>155</v>
      </c>
      <c r="AL232">
        <v>0</v>
      </c>
      <c r="AM232">
        <v>0.3</v>
      </c>
      <c r="AN232">
        <v>0.3</v>
      </c>
      <c r="AO232">
        <v>0.4</v>
      </c>
      <c r="AP232" t="s">
        <v>268</v>
      </c>
      <c r="AQ232">
        <v>0.3</v>
      </c>
      <c r="AR232">
        <v>0.3</v>
      </c>
      <c r="AS232">
        <v>0.2</v>
      </c>
      <c r="AT232">
        <v>0.2</v>
      </c>
      <c r="AU232" t="s">
        <v>268</v>
      </c>
      <c r="AV232" t="s">
        <v>34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100</v>
      </c>
      <c r="BC232">
        <v>0</v>
      </c>
      <c r="BD232">
        <v>0</v>
      </c>
      <c r="BE232">
        <v>0</v>
      </c>
      <c r="BF232">
        <v>0</v>
      </c>
      <c r="BG232">
        <v>0</v>
      </c>
      <c r="BH232" t="s">
        <v>270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100</v>
      </c>
      <c r="BO232">
        <v>0</v>
      </c>
      <c r="BP232">
        <v>0</v>
      </c>
      <c r="BQ232">
        <v>0</v>
      </c>
      <c r="BR232">
        <v>0</v>
      </c>
      <c r="BS232">
        <v>0</v>
      </c>
      <c r="BT232" t="s">
        <v>271</v>
      </c>
      <c r="BU232">
        <v>100</v>
      </c>
      <c r="BV232">
        <v>0</v>
      </c>
      <c r="BW232" t="s">
        <v>268</v>
      </c>
      <c r="BX232" t="s">
        <v>272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100</v>
      </c>
      <c r="CE232">
        <v>0</v>
      </c>
      <c r="CF232">
        <v>0</v>
      </c>
      <c r="CG232">
        <v>0</v>
      </c>
      <c r="CH232">
        <v>0</v>
      </c>
      <c r="CI232">
        <v>0</v>
      </c>
      <c r="CJ232" t="s">
        <v>273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100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100</v>
      </c>
      <c r="CW232" t="s">
        <v>274</v>
      </c>
      <c r="CX232" t="s">
        <v>268</v>
      </c>
      <c r="CY232">
        <v>0</v>
      </c>
    </row>
    <row r="233" spans="5:103" x14ac:dyDescent="0.2">
      <c r="E233">
        <v>0</v>
      </c>
      <c r="F233" t="s">
        <v>155</v>
      </c>
      <c r="G233">
        <v>0</v>
      </c>
      <c r="H233" t="s">
        <v>155</v>
      </c>
      <c r="AL233">
        <v>0</v>
      </c>
      <c r="AM233">
        <v>0.3</v>
      </c>
      <c r="AN233">
        <v>0.3</v>
      </c>
      <c r="AO233">
        <v>0.4</v>
      </c>
      <c r="AP233" t="s">
        <v>268</v>
      </c>
      <c r="AQ233">
        <v>0.3</v>
      </c>
      <c r="AR233">
        <v>0.3</v>
      </c>
      <c r="AS233">
        <v>0.2</v>
      </c>
      <c r="AT233">
        <v>0.2</v>
      </c>
      <c r="AU233" t="s">
        <v>268</v>
      </c>
      <c r="AV233" t="s">
        <v>34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100</v>
      </c>
      <c r="BC233">
        <v>0</v>
      </c>
      <c r="BD233">
        <v>0</v>
      </c>
      <c r="BE233">
        <v>0</v>
      </c>
      <c r="BF233">
        <v>0</v>
      </c>
      <c r="BG233">
        <v>0</v>
      </c>
      <c r="BH233" t="s">
        <v>270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100</v>
      </c>
      <c r="BO233">
        <v>0</v>
      </c>
      <c r="BP233">
        <v>0</v>
      </c>
      <c r="BQ233">
        <v>0</v>
      </c>
      <c r="BR233">
        <v>0</v>
      </c>
      <c r="BS233">
        <v>0</v>
      </c>
      <c r="BT233" t="s">
        <v>271</v>
      </c>
      <c r="BU233">
        <v>100</v>
      </c>
      <c r="BV233">
        <v>0</v>
      </c>
      <c r="BW233" t="s">
        <v>268</v>
      </c>
      <c r="BX233" t="s">
        <v>272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100</v>
      </c>
      <c r="CE233">
        <v>0</v>
      </c>
      <c r="CF233">
        <v>0</v>
      </c>
      <c r="CG233">
        <v>0</v>
      </c>
      <c r="CH233">
        <v>0</v>
      </c>
      <c r="CI233">
        <v>0</v>
      </c>
      <c r="CJ233" t="s">
        <v>273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100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100</v>
      </c>
      <c r="CW233" t="s">
        <v>274</v>
      </c>
      <c r="CX233" t="s">
        <v>268</v>
      </c>
      <c r="CY233">
        <v>0</v>
      </c>
    </row>
    <row r="234" spans="5:103" x14ac:dyDescent="0.2">
      <c r="E234">
        <v>0</v>
      </c>
      <c r="F234" t="s">
        <v>155</v>
      </c>
      <c r="G234">
        <v>0</v>
      </c>
      <c r="H234" t="s">
        <v>155</v>
      </c>
      <c r="AL234">
        <v>0</v>
      </c>
      <c r="AM234">
        <v>0.3</v>
      </c>
      <c r="AN234">
        <v>0.3</v>
      </c>
      <c r="AO234">
        <v>0.4</v>
      </c>
      <c r="AP234" t="s">
        <v>268</v>
      </c>
      <c r="AQ234">
        <v>0.3</v>
      </c>
      <c r="AR234">
        <v>0.3</v>
      </c>
      <c r="AS234">
        <v>0.2</v>
      </c>
      <c r="AT234">
        <v>0.2</v>
      </c>
      <c r="AU234" t="s">
        <v>268</v>
      </c>
      <c r="AV234" t="s">
        <v>34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100</v>
      </c>
      <c r="BC234">
        <v>0</v>
      </c>
      <c r="BD234">
        <v>0</v>
      </c>
      <c r="BE234">
        <v>0</v>
      </c>
      <c r="BF234">
        <v>0</v>
      </c>
      <c r="BG234">
        <v>0</v>
      </c>
      <c r="BH234" t="s">
        <v>270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100</v>
      </c>
      <c r="BO234">
        <v>0</v>
      </c>
      <c r="BP234">
        <v>0</v>
      </c>
      <c r="BQ234">
        <v>0</v>
      </c>
      <c r="BR234">
        <v>0</v>
      </c>
      <c r="BS234">
        <v>0</v>
      </c>
      <c r="BT234" t="s">
        <v>271</v>
      </c>
      <c r="BU234">
        <v>100</v>
      </c>
      <c r="BV234">
        <v>0</v>
      </c>
      <c r="BW234" t="s">
        <v>268</v>
      </c>
      <c r="BX234" t="s">
        <v>272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100</v>
      </c>
      <c r="CE234">
        <v>0</v>
      </c>
      <c r="CF234">
        <v>0</v>
      </c>
      <c r="CG234">
        <v>0</v>
      </c>
      <c r="CH234">
        <v>0</v>
      </c>
      <c r="CI234">
        <v>0</v>
      </c>
      <c r="CJ234" t="s">
        <v>273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100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100</v>
      </c>
      <c r="CW234" t="s">
        <v>274</v>
      </c>
      <c r="CX234" t="s">
        <v>268</v>
      </c>
      <c r="CY234">
        <v>0</v>
      </c>
    </row>
    <row r="235" spans="5:103" x14ac:dyDescent="0.2">
      <c r="E235">
        <v>0</v>
      </c>
      <c r="F235" t="s">
        <v>155</v>
      </c>
      <c r="G235">
        <v>0</v>
      </c>
      <c r="H235" t="s">
        <v>155</v>
      </c>
      <c r="AL235">
        <v>0</v>
      </c>
      <c r="AM235">
        <v>0.3</v>
      </c>
      <c r="AN235">
        <v>0.3</v>
      </c>
      <c r="AO235">
        <v>0.4</v>
      </c>
      <c r="AP235" t="s">
        <v>268</v>
      </c>
      <c r="AQ235">
        <v>0.3</v>
      </c>
      <c r="AR235">
        <v>0.3</v>
      </c>
      <c r="AS235">
        <v>0.2</v>
      </c>
      <c r="AT235">
        <v>0.2</v>
      </c>
      <c r="AU235" t="s">
        <v>268</v>
      </c>
      <c r="AV235" t="s">
        <v>34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100</v>
      </c>
      <c r="BC235">
        <v>0</v>
      </c>
      <c r="BD235">
        <v>0</v>
      </c>
      <c r="BE235">
        <v>0</v>
      </c>
      <c r="BF235">
        <v>0</v>
      </c>
      <c r="BG235">
        <v>0</v>
      </c>
      <c r="BH235" t="s">
        <v>270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100</v>
      </c>
      <c r="BO235">
        <v>0</v>
      </c>
      <c r="BP235">
        <v>0</v>
      </c>
      <c r="BQ235">
        <v>0</v>
      </c>
      <c r="BR235">
        <v>0</v>
      </c>
      <c r="BS235">
        <v>0</v>
      </c>
      <c r="BT235" t="s">
        <v>271</v>
      </c>
      <c r="BU235">
        <v>100</v>
      </c>
      <c r="BV235">
        <v>0</v>
      </c>
      <c r="BW235" t="s">
        <v>268</v>
      </c>
      <c r="BX235" t="s">
        <v>272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100</v>
      </c>
      <c r="CE235">
        <v>0</v>
      </c>
      <c r="CF235">
        <v>0</v>
      </c>
      <c r="CG235">
        <v>0</v>
      </c>
      <c r="CH235">
        <v>0</v>
      </c>
      <c r="CI235">
        <v>0</v>
      </c>
      <c r="CJ235" t="s">
        <v>273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100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100</v>
      </c>
      <c r="CW235" t="s">
        <v>274</v>
      </c>
      <c r="CX235" t="s">
        <v>268</v>
      </c>
      <c r="CY235">
        <v>0</v>
      </c>
    </row>
    <row r="236" spans="5:103" x14ac:dyDescent="0.2">
      <c r="E236">
        <v>0</v>
      </c>
      <c r="F236" t="s">
        <v>155</v>
      </c>
      <c r="G236">
        <v>0</v>
      </c>
      <c r="H236" t="s">
        <v>155</v>
      </c>
      <c r="AL236">
        <v>0</v>
      </c>
      <c r="AM236">
        <v>0.3</v>
      </c>
      <c r="AN236">
        <v>0.3</v>
      </c>
      <c r="AO236">
        <v>0.4</v>
      </c>
      <c r="AP236" t="s">
        <v>268</v>
      </c>
      <c r="AQ236">
        <v>0.3</v>
      </c>
      <c r="AR236">
        <v>0.3</v>
      </c>
      <c r="AS236">
        <v>0.2</v>
      </c>
      <c r="AT236">
        <v>0.2</v>
      </c>
      <c r="AU236" t="s">
        <v>268</v>
      </c>
      <c r="AV236" t="s">
        <v>34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100</v>
      </c>
      <c r="BC236">
        <v>0</v>
      </c>
      <c r="BD236">
        <v>0</v>
      </c>
      <c r="BE236">
        <v>0</v>
      </c>
      <c r="BF236">
        <v>0</v>
      </c>
      <c r="BG236">
        <v>0</v>
      </c>
      <c r="BH236" t="s">
        <v>270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100</v>
      </c>
      <c r="BO236">
        <v>0</v>
      </c>
      <c r="BP236">
        <v>0</v>
      </c>
      <c r="BQ236">
        <v>0</v>
      </c>
      <c r="BR236">
        <v>0</v>
      </c>
      <c r="BS236">
        <v>0</v>
      </c>
      <c r="BT236" t="s">
        <v>271</v>
      </c>
      <c r="BU236">
        <v>100</v>
      </c>
      <c r="BV236">
        <v>0</v>
      </c>
      <c r="BW236" t="s">
        <v>268</v>
      </c>
      <c r="BX236" t="s">
        <v>272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100</v>
      </c>
      <c r="CE236">
        <v>0</v>
      </c>
      <c r="CF236">
        <v>0</v>
      </c>
      <c r="CG236">
        <v>0</v>
      </c>
      <c r="CH236">
        <v>0</v>
      </c>
      <c r="CI236">
        <v>0</v>
      </c>
      <c r="CJ236" t="s">
        <v>273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100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100</v>
      </c>
      <c r="CW236" t="s">
        <v>274</v>
      </c>
      <c r="CX236" t="s">
        <v>268</v>
      </c>
      <c r="CY236">
        <v>0</v>
      </c>
    </row>
    <row r="237" spans="5:103" x14ac:dyDescent="0.2">
      <c r="E237">
        <v>0</v>
      </c>
      <c r="F237" t="s">
        <v>155</v>
      </c>
      <c r="G237">
        <v>0</v>
      </c>
      <c r="H237" t="s">
        <v>155</v>
      </c>
      <c r="AL237">
        <v>0</v>
      </c>
      <c r="AM237">
        <v>0.3</v>
      </c>
      <c r="AN237">
        <v>0.3</v>
      </c>
      <c r="AO237">
        <v>0.4</v>
      </c>
      <c r="AP237" t="s">
        <v>268</v>
      </c>
      <c r="AQ237">
        <v>0.3</v>
      </c>
      <c r="AR237">
        <v>0.3</v>
      </c>
      <c r="AS237">
        <v>0.2</v>
      </c>
      <c r="AT237">
        <v>0.2</v>
      </c>
      <c r="AU237" t="s">
        <v>268</v>
      </c>
      <c r="AV237" t="s">
        <v>34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100</v>
      </c>
      <c r="BC237">
        <v>0</v>
      </c>
      <c r="BD237">
        <v>0</v>
      </c>
      <c r="BE237">
        <v>0</v>
      </c>
      <c r="BF237">
        <v>0</v>
      </c>
      <c r="BG237">
        <v>0</v>
      </c>
      <c r="BH237" t="s">
        <v>270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100</v>
      </c>
      <c r="BO237">
        <v>0</v>
      </c>
      <c r="BP237">
        <v>0</v>
      </c>
      <c r="BQ237">
        <v>0</v>
      </c>
      <c r="BR237">
        <v>0</v>
      </c>
      <c r="BS237">
        <v>0</v>
      </c>
      <c r="BT237" t="s">
        <v>271</v>
      </c>
      <c r="BU237">
        <v>100</v>
      </c>
      <c r="BV237">
        <v>0</v>
      </c>
      <c r="BW237" t="s">
        <v>268</v>
      </c>
      <c r="BX237" t="s">
        <v>272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100</v>
      </c>
      <c r="CE237">
        <v>0</v>
      </c>
      <c r="CF237">
        <v>0</v>
      </c>
      <c r="CG237">
        <v>0</v>
      </c>
      <c r="CH237">
        <v>0</v>
      </c>
      <c r="CI237">
        <v>0</v>
      </c>
      <c r="CJ237" t="s">
        <v>273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100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100</v>
      </c>
      <c r="CW237" t="s">
        <v>274</v>
      </c>
      <c r="CX237" t="s">
        <v>268</v>
      </c>
      <c r="CY237">
        <v>0</v>
      </c>
    </row>
    <row r="238" spans="5:103" x14ac:dyDescent="0.2">
      <c r="E238">
        <v>0</v>
      </c>
      <c r="F238" t="s">
        <v>155</v>
      </c>
      <c r="G238">
        <v>0</v>
      </c>
      <c r="H238" t="s">
        <v>155</v>
      </c>
      <c r="AL238">
        <v>0</v>
      </c>
      <c r="AM238">
        <v>0.3</v>
      </c>
      <c r="AN238">
        <v>0.3</v>
      </c>
      <c r="AO238">
        <v>0.4</v>
      </c>
      <c r="AP238" t="s">
        <v>268</v>
      </c>
      <c r="AQ238">
        <v>0.3</v>
      </c>
      <c r="AR238">
        <v>0.3</v>
      </c>
      <c r="AS238">
        <v>0.2</v>
      </c>
      <c r="AT238">
        <v>0.2</v>
      </c>
      <c r="AU238" t="s">
        <v>268</v>
      </c>
      <c r="AV238" t="s">
        <v>34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100</v>
      </c>
      <c r="BC238">
        <v>0</v>
      </c>
      <c r="BD238">
        <v>0</v>
      </c>
      <c r="BE238">
        <v>0</v>
      </c>
      <c r="BF238">
        <v>0</v>
      </c>
      <c r="BG238">
        <v>0</v>
      </c>
      <c r="BH238" t="s">
        <v>270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100</v>
      </c>
      <c r="BO238">
        <v>0</v>
      </c>
      <c r="BP238">
        <v>0</v>
      </c>
      <c r="BQ238">
        <v>0</v>
      </c>
      <c r="BR238">
        <v>0</v>
      </c>
      <c r="BS238">
        <v>0</v>
      </c>
      <c r="BT238" t="s">
        <v>271</v>
      </c>
      <c r="BU238">
        <v>100</v>
      </c>
      <c r="BV238">
        <v>0</v>
      </c>
      <c r="BW238" t="s">
        <v>268</v>
      </c>
      <c r="BX238" t="s">
        <v>272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100</v>
      </c>
      <c r="CE238">
        <v>0</v>
      </c>
      <c r="CF238">
        <v>0</v>
      </c>
      <c r="CG238">
        <v>0</v>
      </c>
      <c r="CH238">
        <v>0</v>
      </c>
      <c r="CI238">
        <v>0</v>
      </c>
      <c r="CJ238" t="s">
        <v>273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100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100</v>
      </c>
      <c r="CW238" t="s">
        <v>274</v>
      </c>
      <c r="CX238" t="s">
        <v>268</v>
      </c>
      <c r="CY238">
        <v>0</v>
      </c>
    </row>
    <row r="239" spans="5:103" x14ac:dyDescent="0.2">
      <c r="E239">
        <v>0</v>
      </c>
      <c r="F239" t="s">
        <v>155</v>
      </c>
      <c r="G239">
        <v>0</v>
      </c>
      <c r="H239" t="s">
        <v>155</v>
      </c>
      <c r="AL239">
        <v>0</v>
      </c>
      <c r="AM239">
        <v>0.3</v>
      </c>
      <c r="AN239">
        <v>0.3</v>
      </c>
      <c r="AO239">
        <v>0.4</v>
      </c>
      <c r="AP239" t="s">
        <v>268</v>
      </c>
      <c r="AQ239">
        <v>0.3</v>
      </c>
      <c r="AR239">
        <v>0.3</v>
      </c>
      <c r="AS239">
        <v>0.2</v>
      </c>
      <c r="AT239">
        <v>0.2</v>
      </c>
      <c r="AU239" t="s">
        <v>268</v>
      </c>
      <c r="AV239" t="s">
        <v>34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100</v>
      </c>
      <c r="BC239">
        <v>0</v>
      </c>
      <c r="BD239">
        <v>0</v>
      </c>
      <c r="BE239">
        <v>0</v>
      </c>
      <c r="BF239">
        <v>0</v>
      </c>
      <c r="BG239">
        <v>0</v>
      </c>
      <c r="BH239" t="s">
        <v>270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100</v>
      </c>
      <c r="BO239">
        <v>0</v>
      </c>
      <c r="BP239">
        <v>0</v>
      </c>
      <c r="BQ239">
        <v>0</v>
      </c>
      <c r="BR239">
        <v>0</v>
      </c>
      <c r="BS239">
        <v>0</v>
      </c>
      <c r="BT239" t="s">
        <v>271</v>
      </c>
      <c r="BU239">
        <v>100</v>
      </c>
      <c r="BV239">
        <v>0</v>
      </c>
      <c r="BW239" t="s">
        <v>268</v>
      </c>
      <c r="BX239" t="s">
        <v>272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100</v>
      </c>
      <c r="CE239">
        <v>0</v>
      </c>
      <c r="CF239">
        <v>0</v>
      </c>
      <c r="CG239">
        <v>0</v>
      </c>
      <c r="CH239">
        <v>0</v>
      </c>
      <c r="CI239">
        <v>0</v>
      </c>
      <c r="CJ239" t="s">
        <v>273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100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100</v>
      </c>
      <c r="CW239" t="s">
        <v>274</v>
      </c>
      <c r="CX239" t="s">
        <v>268</v>
      </c>
      <c r="CY239">
        <v>0</v>
      </c>
    </row>
    <row r="240" spans="5:103" x14ac:dyDescent="0.2">
      <c r="E240">
        <v>0</v>
      </c>
      <c r="F240" t="s">
        <v>155</v>
      </c>
      <c r="G240">
        <v>0</v>
      </c>
      <c r="H240" t="s">
        <v>155</v>
      </c>
      <c r="AL240">
        <v>0</v>
      </c>
      <c r="AM240">
        <v>0.3</v>
      </c>
      <c r="AN240">
        <v>0.3</v>
      </c>
      <c r="AO240">
        <v>0.4</v>
      </c>
      <c r="AP240" t="s">
        <v>268</v>
      </c>
      <c r="AQ240">
        <v>0.3</v>
      </c>
      <c r="AR240">
        <v>0.3</v>
      </c>
      <c r="AS240">
        <v>0.2</v>
      </c>
      <c r="AT240">
        <v>0.2</v>
      </c>
      <c r="AU240" t="s">
        <v>268</v>
      </c>
      <c r="AV240" t="s">
        <v>34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100</v>
      </c>
      <c r="BC240">
        <v>0</v>
      </c>
      <c r="BD240">
        <v>0</v>
      </c>
      <c r="BE240">
        <v>0</v>
      </c>
      <c r="BF240">
        <v>0</v>
      </c>
      <c r="BG240">
        <v>0</v>
      </c>
      <c r="BH240" t="s">
        <v>270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100</v>
      </c>
      <c r="BO240">
        <v>0</v>
      </c>
      <c r="BP240">
        <v>0</v>
      </c>
      <c r="BQ240">
        <v>0</v>
      </c>
      <c r="BR240">
        <v>0</v>
      </c>
      <c r="BS240">
        <v>0</v>
      </c>
      <c r="BT240" t="s">
        <v>271</v>
      </c>
      <c r="BU240">
        <v>100</v>
      </c>
      <c r="BV240">
        <v>0</v>
      </c>
      <c r="BW240" t="s">
        <v>268</v>
      </c>
      <c r="BX240" t="s">
        <v>272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100</v>
      </c>
      <c r="CE240">
        <v>0</v>
      </c>
      <c r="CF240">
        <v>0</v>
      </c>
      <c r="CG240">
        <v>0</v>
      </c>
      <c r="CH240">
        <v>0</v>
      </c>
      <c r="CI240">
        <v>0</v>
      </c>
      <c r="CJ240" t="s">
        <v>273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100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100</v>
      </c>
      <c r="CW240" t="s">
        <v>274</v>
      </c>
      <c r="CX240" t="s">
        <v>268</v>
      </c>
      <c r="CY240">
        <v>0</v>
      </c>
    </row>
    <row r="241" spans="5:103" x14ac:dyDescent="0.2">
      <c r="E241">
        <v>0</v>
      </c>
      <c r="F241" t="s">
        <v>155</v>
      </c>
      <c r="G241">
        <v>0</v>
      </c>
      <c r="H241" t="s">
        <v>155</v>
      </c>
      <c r="AL241">
        <v>0</v>
      </c>
      <c r="AM241">
        <v>0.3</v>
      </c>
      <c r="AN241">
        <v>0.3</v>
      </c>
      <c r="AO241">
        <v>0.4</v>
      </c>
      <c r="AP241" t="s">
        <v>268</v>
      </c>
      <c r="AQ241">
        <v>0.3</v>
      </c>
      <c r="AR241">
        <v>0.3</v>
      </c>
      <c r="AS241">
        <v>0.2</v>
      </c>
      <c r="AT241">
        <v>0.2</v>
      </c>
      <c r="AU241" t="s">
        <v>268</v>
      </c>
      <c r="AV241" t="s">
        <v>34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100</v>
      </c>
      <c r="BC241">
        <v>0</v>
      </c>
      <c r="BD241">
        <v>0</v>
      </c>
      <c r="BE241">
        <v>0</v>
      </c>
      <c r="BF241">
        <v>0</v>
      </c>
      <c r="BG241">
        <v>0</v>
      </c>
      <c r="BH241" t="s">
        <v>270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100</v>
      </c>
      <c r="BO241">
        <v>0</v>
      </c>
      <c r="BP241">
        <v>0</v>
      </c>
      <c r="BQ241">
        <v>0</v>
      </c>
      <c r="BR241">
        <v>0</v>
      </c>
      <c r="BS241">
        <v>0</v>
      </c>
      <c r="BT241" t="s">
        <v>271</v>
      </c>
      <c r="BU241">
        <v>100</v>
      </c>
      <c r="BV241">
        <v>0</v>
      </c>
      <c r="BW241" t="s">
        <v>268</v>
      </c>
      <c r="BX241" t="s">
        <v>272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100</v>
      </c>
      <c r="CE241">
        <v>0</v>
      </c>
      <c r="CF241">
        <v>0</v>
      </c>
      <c r="CG241">
        <v>0</v>
      </c>
      <c r="CH241">
        <v>0</v>
      </c>
      <c r="CI241">
        <v>0</v>
      </c>
      <c r="CJ241" t="s">
        <v>273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100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100</v>
      </c>
      <c r="CW241" t="s">
        <v>274</v>
      </c>
      <c r="CX241" t="s">
        <v>268</v>
      </c>
      <c r="CY241">
        <v>0</v>
      </c>
    </row>
    <row r="242" spans="5:103" x14ac:dyDescent="0.2">
      <c r="E242">
        <v>0</v>
      </c>
      <c r="F242" t="s">
        <v>155</v>
      </c>
      <c r="G242">
        <v>0</v>
      </c>
      <c r="H242" t="s">
        <v>155</v>
      </c>
      <c r="AL242">
        <v>0</v>
      </c>
      <c r="AM242">
        <v>0.3</v>
      </c>
      <c r="AN242">
        <v>0.3</v>
      </c>
      <c r="AO242">
        <v>0.4</v>
      </c>
      <c r="AP242" t="s">
        <v>268</v>
      </c>
      <c r="AQ242">
        <v>0.3</v>
      </c>
      <c r="AR242">
        <v>0.3</v>
      </c>
      <c r="AS242">
        <v>0.2</v>
      </c>
      <c r="AT242">
        <v>0.2</v>
      </c>
      <c r="AU242" t="s">
        <v>268</v>
      </c>
      <c r="AV242" t="s">
        <v>34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100</v>
      </c>
      <c r="BC242">
        <v>0</v>
      </c>
      <c r="BD242">
        <v>0</v>
      </c>
      <c r="BE242">
        <v>0</v>
      </c>
      <c r="BF242">
        <v>0</v>
      </c>
      <c r="BG242">
        <v>0</v>
      </c>
      <c r="BH242" t="s">
        <v>270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100</v>
      </c>
      <c r="BO242">
        <v>0</v>
      </c>
      <c r="BP242">
        <v>0</v>
      </c>
      <c r="BQ242">
        <v>0</v>
      </c>
      <c r="BR242">
        <v>0</v>
      </c>
      <c r="BS242">
        <v>0</v>
      </c>
      <c r="BT242" t="s">
        <v>271</v>
      </c>
      <c r="BU242">
        <v>100</v>
      </c>
      <c r="BV242">
        <v>0</v>
      </c>
      <c r="BW242" t="s">
        <v>268</v>
      </c>
      <c r="BX242" t="s">
        <v>272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100</v>
      </c>
      <c r="CE242">
        <v>0</v>
      </c>
      <c r="CF242">
        <v>0</v>
      </c>
      <c r="CG242">
        <v>0</v>
      </c>
      <c r="CH242">
        <v>0</v>
      </c>
      <c r="CI242">
        <v>0</v>
      </c>
      <c r="CJ242" t="s">
        <v>273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100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100</v>
      </c>
      <c r="CW242" t="s">
        <v>274</v>
      </c>
      <c r="CX242" t="s">
        <v>268</v>
      </c>
      <c r="CY242">
        <v>0</v>
      </c>
    </row>
    <row r="243" spans="5:103" x14ac:dyDescent="0.2">
      <c r="E243">
        <v>0</v>
      </c>
      <c r="F243" t="s">
        <v>155</v>
      </c>
      <c r="G243">
        <v>0</v>
      </c>
      <c r="H243" t="s">
        <v>155</v>
      </c>
      <c r="AL243">
        <v>0</v>
      </c>
      <c r="AM243">
        <v>0.3</v>
      </c>
      <c r="AN243">
        <v>0.3</v>
      </c>
      <c r="AO243">
        <v>0.4</v>
      </c>
      <c r="AP243" t="s">
        <v>268</v>
      </c>
      <c r="AQ243">
        <v>0.3</v>
      </c>
      <c r="AR243">
        <v>0.3</v>
      </c>
      <c r="AS243">
        <v>0.2</v>
      </c>
      <c r="AT243">
        <v>0.2</v>
      </c>
      <c r="AU243" t="s">
        <v>268</v>
      </c>
      <c r="AV243" t="s">
        <v>34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100</v>
      </c>
      <c r="BC243">
        <v>0</v>
      </c>
      <c r="BD243">
        <v>0</v>
      </c>
      <c r="BE243">
        <v>0</v>
      </c>
      <c r="BF243">
        <v>0</v>
      </c>
      <c r="BG243">
        <v>0</v>
      </c>
      <c r="BH243" t="s">
        <v>270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100</v>
      </c>
      <c r="BO243">
        <v>0</v>
      </c>
      <c r="BP243">
        <v>0</v>
      </c>
      <c r="BQ243">
        <v>0</v>
      </c>
      <c r="BR243">
        <v>0</v>
      </c>
      <c r="BS243">
        <v>0</v>
      </c>
      <c r="BT243" t="s">
        <v>271</v>
      </c>
      <c r="BU243">
        <v>100</v>
      </c>
      <c r="BV243">
        <v>0</v>
      </c>
      <c r="BW243" t="s">
        <v>268</v>
      </c>
      <c r="BX243" t="s">
        <v>272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100</v>
      </c>
      <c r="CE243">
        <v>0</v>
      </c>
      <c r="CF243">
        <v>0</v>
      </c>
      <c r="CG243">
        <v>0</v>
      </c>
      <c r="CH243">
        <v>0</v>
      </c>
      <c r="CI243">
        <v>0</v>
      </c>
      <c r="CJ243" t="s">
        <v>273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100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100</v>
      </c>
      <c r="CW243" t="s">
        <v>274</v>
      </c>
      <c r="CX243" t="s">
        <v>268</v>
      </c>
      <c r="CY243">
        <v>0</v>
      </c>
    </row>
    <row r="244" spans="5:103" x14ac:dyDescent="0.2">
      <c r="E244">
        <v>0</v>
      </c>
      <c r="F244" t="s">
        <v>155</v>
      </c>
      <c r="G244">
        <v>0</v>
      </c>
      <c r="H244" t="s">
        <v>155</v>
      </c>
      <c r="AL244">
        <v>0</v>
      </c>
      <c r="AM244">
        <v>0.3</v>
      </c>
      <c r="AN244">
        <v>0.3</v>
      </c>
      <c r="AO244">
        <v>0.4</v>
      </c>
      <c r="AP244" t="s">
        <v>268</v>
      </c>
      <c r="AQ244">
        <v>0.3</v>
      </c>
      <c r="AR244">
        <v>0.3</v>
      </c>
      <c r="AS244">
        <v>0.2</v>
      </c>
      <c r="AT244">
        <v>0.2</v>
      </c>
      <c r="AU244" t="s">
        <v>268</v>
      </c>
      <c r="AV244" t="s">
        <v>34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100</v>
      </c>
      <c r="BC244">
        <v>0</v>
      </c>
      <c r="BD244">
        <v>0</v>
      </c>
      <c r="BE244">
        <v>0</v>
      </c>
      <c r="BF244">
        <v>0</v>
      </c>
      <c r="BG244">
        <v>0</v>
      </c>
      <c r="BH244" t="s">
        <v>270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100</v>
      </c>
      <c r="BO244">
        <v>0</v>
      </c>
      <c r="BP244">
        <v>0</v>
      </c>
      <c r="BQ244">
        <v>0</v>
      </c>
      <c r="BR244">
        <v>0</v>
      </c>
      <c r="BS244">
        <v>0</v>
      </c>
      <c r="BT244" t="s">
        <v>271</v>
      </c>
      <c r="BU244">
        <v>100</v>
      </c>
      <c r="BV244">
        <v>0</v>
      </c>
      <c r="BW244" t="s">
        <v>268</v>
      </c>
      <c r="BX244" t="s">
        <v>272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100</v>
      </c>
      <c r="CE244">
        <v>0</v>
      </c>
      <c r="CF244">
        <v>0</v>
      </c>
      <c r="CG244">
        <v>0</v>
      </c>
      <c r="CH244">
        <v>0</v>
      </c>
      <c r="CI244">
        <v>0</v>
      </c>
      <c r="CJ244" t="s">
        <v>273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100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100</v>
      </c>
      <c r="CW244" t="s">
        <v>274</v>
      </c>
      <c r="CX244" t="s">
        <v>268</v>
      </c>
      <c r="CY244">
        <v>0</v>
      </c>
    </row>
    <row r="245" spans="5:103" x14ac:dyDescent="0.2">
      <c r="E245">
        <v>0</v>
      </c>
      <c r="F245" t="s">
        <v>155</v>
      </c>
      <c r="G245">
        <v>0</v>
      </c>
      <c r="H245" t="s">
        <v>155</v>
      </c>
      <c r="AL245">
        <v>0</v>
      </c>
      <c r="AM245">
        <v>0.3</v>
      </c>
      <c r="AN245">
        <v>0.3</v>
      </c>
      <c r="AO245">
        <v>0.4</v>
      </c>
      <c r="AP245" t="s">
        <v>268</v>
      </c>
      <c r="AQ245">
        <v>0.3</v>
      </c>
      <c r="AR245">
        <v>0.3</v>
      </c>
      <c r="AS245">
        <v>0.2</v>
      </c>
      <c r="AT245">
        <v>0.2</v>
      </c>
      <c r="AU245" t="s">
        <v>268</v>
      </c>
      <c r="AV245" t="s">
        <v>34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100</v>
      </c>
      <c r="BC245">
        <v>0</v>
      </c>
      <c r="BD245">
        <v>0</v>
      </c>
      <c r="BE245">
        <v>0</v>
      </c>
      <c r="BF245">
        <v>0</v>
      </c>
      <c r="BG245">
        <v>0</v>
      </c>
      <c r="BH245" t="s">
        <v>270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100</v>
      </c>
      <c r="BO245">
        <v>0</v>
      </c>
      <c r="BP245">
        <v>0</v>
      </c>
      <c r="BQ245">
        <v>0</v>
      </c>
      <c r="BR245">
        <v>0</v>
      </c>
      <c r="BS245">
        <v>0</v>
      </c>
      <c r="BT245" t="s">
        <v>271</v>
      </c>
      <c r="BU245">
        <v>100</v>
      </c>
      <c r="BV245">
        <v>0</v>
      </c>
      <c r="BW245" t="s">
        <v>268</v>
      </c>
      <c r="BX245" t="s">
        <v>272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100</v>
      </c>
      <c r="CE245">
        <v>0</v>
      </c>
      <c r="CF245">
        <v>0</v>
      </c>
      <c r="CG245">
        <v>0</v>
      </c>
      <c r="CH245">
        <v>0</v>
      </c>
      <c r="CI245">
        <v>0</v>
      </c>
      <c r="CJ245" t="s">
        <v>273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100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100</v>
      </c>
      <c r="CW245" t="s">
        <v>274</v>
      </c>
      <c r="CX245" t="s">
        <v>268</v>
      </c>
      <c r="CY245">
        <v>0</v>
      </c>
    </row>
    <row r="246" spans="5:103" x14ac:dyDescent="0.2">
      <c r="E246">
        <v>0</v>
      </c>
      <c r="F246" t="s">
        <v>155</v>
      </c>
      <c r="G246">
        <v>0</v>
      </c>
      <c r="H246" t="s">
        <v>155</v>
      </c>
      <c r="AL246">
        <v>0</v>
      </c>
      <c r="AM246">
        <v>0.3</v>
      </c>
      <c r="AN246">
        <v>0.3</v>
      </c>
      <c r="AO246">
        <v>0.4</v>
      </c>
      <c r="AP246" t="s">
        <v>268</v>
      </c>
      <c r="AQ246">
        <v>0.3</v>
      </c>
      <c r="AR246">
        <v>0.3</v>
      </c>
      <c r="AS246">
        <v>0.2</v>
      </c>
      <c r="AT246">
        <v>0.2</v>
      </c>
      <c r="AU246" t="s">
        <v>268</v>
      </c>
      <c r="AV246" t="s">
        <v>34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100</v>
      </c>
      <c r="BC246">
        <v>0</v>
      </c>
      <c r="BD246">
        <v>0</v>
      </c>
      <c r="BE246">
        <v>0</v>
      </c>
      <c r="BF246">
        <v>0</v>
      </c>
      <c r="BG246">
        <v>0</v>
      </c>
      <c r="BH246" t="s">
        <v>270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100</v>
      </c>
      <c r="BO246">
        <v>0</v>
      </c>
      <c r="BP246">
        <v>0</v>
      </c>
      <c r="BQ246">
        <v>0</v>
      </c>
      <c r="BR246">
        <v>0</v>
      </c>
      <c r="BS246">
        <v>0</v>
      </c>
      <c r="BT246" t="s">
        <v>271</v>
      </c>
      <c r="BU246">
        <v>100</v>
      </c>
      <c r="BV246">
        <v>0</v>
      </c>
      <c r="BW246" t="s">
        <v>268</v>
      </c>
      <c r="BX246" t="s">
        <v>272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100</v>
      </c>
      <c r="CE246">
        <v>0</v>
      </c>
      <c r="CF246">
        <v>0</v>
      </c>
      <c r="CG246">
        <v>0</v>
      </c>
      <c r="CH246">
        <v>0</v>
      </c>
      <c r="CI246">
        <v>0</v>
      </c>
      <c r="CJ246" t="s">
        <v>273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100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100</v>
      </c>
      <c r="CW246" t="s">
        <v>274</v>
      </c>
      <c r="CX246" t="s">
        <v>268</v>
      </c>
      <c r="CY246">
        <v>0</v>
      </c>
    </row>
    <row r="247" spans="5:103" x14ac:dyDescent="0.2">
      <c r="E247">
        <v>0</v>
      </c>
      <c r="F247" t="s">
        <v>155</v>
      </c>
      <c r="G247">
        <v>0</v>
      </c>
      <c r="H247" t="s">
        <v>155</v>
      </c>
      <c r="AL247">
        <v>0</v>
      </c>
      <c r="AM247">
        <v>0.3</v>
      </c>
      <c r="AN247">
        <v>0.3</v>
      </c>
      <c r="AO247">
        <v>0.4</v>
      </c>
      <c r="AP247" t="s">
        <v>268</v>
      </c>
      <c r="AQ247">
        <v>0.3</v>
      </c>
      <c r="AR247">
        <v>0.3</v>
      </c>
      <c r="AS247">
        <v>0.2</v>
      </c>
      <c r="AT247">
        <v>0.2</v>
      </c>
      <c r="AU247" t="s">
        <v>268</v>
      </c>
      <c r="AV247" t="s">
        <v>34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100</v>
      </c>
      <c r="BC247">
        <v>0</v>
      </c>
      <c r="BD247">
        <v>0</v>
      </c>
      <c r="BE247">
        <v>0</v>
      </c>
      <c r="BF247">
        <v>0</v>
      </c>
      <c r="BG247">
        <v>0</v>
      </c>
      <c r="BH247" t="s">
        <v>270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100</v>
      </c>
      <c r="BO247">
        <v>0</v>
      </c>
      <c r="BP247">
        <v>0</v>
      </c>
      <c r="BQ247">
        <v>0</v>
      </c>
      <c r="BR247">
        <v>0</v>
      </c>
      <c r="BS247">
        <v>0</v>
      </c>
      <c r="BT247" t="s">
        <v>271</v>
      </c>
      <c r="BU247">
        <v>100</v>
      </c>
      <c r="BV247">
        <v>0</v>
      </c>
      <c r="BW247" t="s">
        <v>268</v>
      </c>
      <c r="BX247" t="s">
        <v>272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100</v>
      </c>
      <c r="CE247">
        <v>0</v>
      </c>
      <c r="CF247">
        <v>0</v>
      </c>
      <c r="CG247">
        <v>0</v>
      </c>
      <c r="CH247">
        <v>0</v>
      </c>
      <c r="CI247">
        <v>0</v>
      </c>
      <c r="CJ247" t="s">
        <v>273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100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100</v>
      </c>
      <c r="CW247" t="s">
        <v>274</v>
      </c>
      <c r="CX247" t="s">
        <v>268</v>
      </c>
      <c r="CY247">
        <v>0</v>
      </c>
    </row>
    <row r="248" spans="5:103" x14ac:dyDescent="0.2">
      <c r="E248">
        <v>0</v>
      </c>
      <c r="F248" t="s">
        <v>155</v>
      </c>
      <c r="G248">
        <v>0</v>
      </c>
      <c r="H248" t="s">
        <v>155</v>
      </c>
      <c r="AL248">
        <v>0</v>
      </c>
      <c r="AM248">
        <v>0.3</v>
      </c>
      <c r="AN248">
        <v>0.3</v>
      </c>
      <c r="AO248">
        <v>0.4</v>
      </c>
      <c r="AP248" t="s">
        <v>268</v>
      </c>
      <c r="AQ248">
        <v>0.3</v>
      </c>
      <c r="AR248">
        <v>0.3</v>
      </c>
      <c r="AS248">
        <v>0.2</v>
      </c>
      <c r="AT248">
        <v>0.2</v>
      </c>
      <c r="AU248" t="s">
        <v>268</v>
      </c>
      <c r="AV248" t="s">
        <v>34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100</v>
      </c>
      <c r="BC248">
        <v>0</v>
      </c>
      <c r="BD248">
        <v>0</v>
      </c>
      <c r="BE248">
        <v>0</v>
      </c>
      <c r="BF248">
        <v>0</v>
      </c>
      <c r="BG248">
        <v>0</v>
      </c>
      <c r="BH248" t="s">
        <v>270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100</v>
      </c>
      <c r="BO248">
        <v>0</v>
      </c>
      <c r="BP248">
        <v>0</v>
      </c>
      <c r="BQ248">
        <v>0</v>
      </c>
      <c r="BR248">
        <v>0</v>
      </c>
      <c r="BS248">
        <v>0</v>
      </c>
      <c r="BT248" t="s">
        <v>271</v>
      </c>
      <c r="BU248">
        <v>100</v>
      </c>
      <c r="BV248">
        <v>0</v>
      </c>
      <c r="BW248" t="s">
        <v>268</v>
      </c>
      <c r="BX248" t="s">
        <v>272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100</v>
      </c>
      <c r="CE248">
        <v>0</v>
      </c>
      <c r="CF248">
        <v>0</v>
      </c>
      <c r="CG248">
        <v>0</v>
      </c>
      <c r="CH248">
        <v>0</v>
      </c>
      <c r="CI248">
        <v>0</v>
      </c>
      <c r="CJ248" t="s">
        <v>273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100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100</v>
      </c>
      <c r="CW248" t="s">
        <v>274</v>
      </c>
      <c r="CX248" t="s">
        <v>268</v>
      </c>
      <c r="CY248">
        <v>0</v>
      </c>
    </row>
    <row r="249" spans="5:103" x14ac:dyDescent="0.2">
      <c r="E249">
        <v>0</v>
      </c>
      <c r="F249" t="s">
        <v>155</v>
      </c>
      <c r="G249">
        <v>0</v>
      </c>
      <c r="H249" t="s">
        <v>155</v>
      </c>
      <c r="AL249">
        <v>0</v>
      </c>
      <c r="AM249">
        <v>0.3</v>
      </c>
      <c r="AN249">
        <v>0.3</v>
      </c>
      <c r="AO249">
        <v>0.4</v>
      </c>
      <c r="AP249" t="s">
        <v>268</v>
      </c>
      <c r="AQ249">
        <v>0.3</v>
      </c>
      <c r="AR249">
        <v>0.3</v>
      </c>
      <c r="AS249">
        <v>0.2</v>
      </c>
      <c r="AT249">
        <v>0.2</v>
      </c>
      <c r="AU249" t="s">
        <v>268</v>
      </c>
      <c r="AV249" t="s">
        <v>34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100</v>
      </c>
      <c r="BC249">
        <v>0</v>
      </c>
      <c r="BD249">
        <v>0</v>
      </c>
      <c r="BE249">
        <v>0</v>
      </c>
      <c r="BF249">
        <v>0</v>
      </c>
      <c r="BG249">
        <v>0</v>
      </c>
      <c r="BH249" t="s">
        <v>270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100</v>
      </c>
      <c r="BO249">
        <v>0</v>
      </c>
      <c r="BP249">
        <v>0</v>
      </c>
      <c r="BQ249">
        <v>0</v>
      </c>
      <c r="BR249">
        <v>0</v>
      </c>
      <c r="BS249">
        <v>0</v>
      </c>
      <c r="BT249" t="s">
        <v>271</v>
      </c>
      <c r="BU249">
        <v>100</v>
      </c>
      <c r="BV249">
        <v>0</v>
      </c>
      <c r="BW249" t="s">
        <v>268</v>
      </c>
      <c r="BX249" t="s">
        <v>272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100</v>
      </c>
      <c r="CE249">
        <v>0</v>
      </c>
      <c r="CF249">
        <v>0</v>
      </c>
      <c r="CG249">
        <v>0</v>
      </c>
      <c r="CH249">
        <v>0</v>
      </c>
      <c r="CI249">
        <v>0</v>
      </c>
      <c r="CJ249" t="s">
        <v>273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100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100</v>
      </c>
      <c r="CW249" t="s">
        <v>274</v>
      </c>
      <c r="CX249" t="s">
        <v>268</v>
      </c>
      <c r="CY249">
        <v>0</v>
      </c>
    </row>
    <row r="250" spans="5:103" x14ac:dyDescent="0.2">
      <c r="E250">
        <v>0</v>
      </c>
      <c r="F250" t="s">
        <v>155</v>
      </c>
      <c r="G250">
        <v>0</v>
      </c>
      <c r="H250" t="s">
        <v>155</v>
      </c>
      <c r="AL250">
        <v>0</v>
      </c>
      <c r="AM250">
        <v>0.3</v>
      </c>
      <c r="AN250">
        <v>0.3</v>
      </c>
      <c r="AO250">
        <v>0.4</v>
      </c>
      <c r="AP250" t="s">
        <v>268</v>
      </c>
      <c r="AQ250">
        <v>0.3</v>
      </c>
      <c r="AR250">
        <v>0.3</v>
      </c>
      <c r="AS250">
        <v>0.2</v>
      </c>
      <c r="AT250">
        <v>0.2</v>
      </c>
      <c r="AU250" t="s">
        <v>268</v>
      </c>
      <c r="AV250" t="s">
        <v>34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100</v>
      </c>
      <c r="BC250">
        <v>0</v>
      </c>
      <c r="BD250">
        <v>0</v>
      </c>
      <c r="BE250">
        <v>0</v>
      </c>
      <c r="BF250">
        <v>0</v>
      </c>
      <c r="BG250">
        <v>0</v>
      </c>
      <c r="BH250" t="s">
        <v>270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100</v>
      </c>
      <c r="BO250">
        <v>0</v>
      </c>
      <c r="BP250">
        <v>0</v>
      </c>
      <c r="BQ250">
        <v>0</v>
      </c>
      <c r="BR250">
        <v>0</v>
      </c>
      <c r="BS250">
        <v>0</v>
      </c>
      <c r="BT250" t="s">
        <v>271</v>
      </c>
      <c r="BU250">
        <v>100</v>
      </c>
      <c r="BV250">
        <v>0</v>
      </c>
      <c r="BW250" t="s">
        <v>268</v>
      </c>
      <c r="BX250" t="s">
        <v>272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100</v>
      </c>
      <c r="CE250">
        <v>0</v>
      </c>
      <c r="CF250">
        <v>0</v>
      </c>
      <c r="CG250">
        <v>0</v>
      </c>
      <c r="CH250">
        <v>0</v>
      </c>
      <c r="CI250">
        <v>0</v>
      </c>
      <c r="CJ250" t="s">
        <v>273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100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100</v>
      </c>
      <c r="CW250" t="s">
        <v>274</v>
      </c>
      <c r="CX250" t="s">
        <v>268</v>
      </c>
      <c r="CY250">
        <v>0</v>
      </c>
    </row>
    <row r="251" spans="5:103" x14ac:dyDescent="0.2">
      <c r="E251">
        <v>0</v>
      </c>
      <c r="F251" t="s">
        <v>155</v>
      </c>
      <c r="G251">
        <v>0</v>
      </c>
      <c r="H251" t="s">
        <v>155</v>
      </c>
      <c r="AL251">
        <v>0</v>
      </c>
      <c r="AM251">
        <v>0.3</v>
      </c>
      <c r="AN251">
        <v>0.3</v>
      </c>
      <c r="AO251">
        <v>0.4</v>
      </c>
      <c r="AP251" t="s">
        <v>268</v>
      </c>
      <c r="AQ251">
        <v>0.3</v>
      </c>
      <c r="AR251">
        <v>0.3</v>
      </c>
      <c r="AS251">
        <v>0.2</v>
      </c>
      <c r="AT251">
        <v>0.2</v>
      </c>
      <c r="AU251" t="s">
        <v>268</v>
      </c>
      <c r="AV251" t="s">
        <v>34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100</v>
      </c>
      <c r="BC251">
        <v>0</v>
      </c>
      <c r="BD251">
        <v>0</v>
      </c>
      <c r="BE251">
        <v>0</v>
      </c>
      <c r="BF251">
        <v>0</v>
      </c>
      <c r="BG251">
        <v>0</v>
      </c>
      <c r="BH251" t="s">
        <v>270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100</v>
      </c>
      <c r="BO251">
        <v>0</v>
      </c>
      <c r="BP251">
        <v>0</v>
      </c>
      <c r="BQ251">
        <v>0</v>
      </c>
      <c r="BR251">
        <v>0</v>
      </c>
      <c r="BS251">
        <v>0</v>
      </c>
      <c r="BT251" t="s">
        <v>271</v>
      </c>
      <c r="BU251">
        <v>100</v>
      </c>
      <c r="BV251">
        <v>0</v>
      </c>
      <c r="BW251" t="s">
        <v>268</v>
      </c>
      <c r="BX251" t="s">
        <v>272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100</v>
      </c>
      <c r="CE251">
        <v>0</v>
      </c>
      <c r="CF251">
        <v>0</v>
      </c>
      <c r="CG251">
        <v>0</v>
      </c>
      <c r="CH251">
        <v>0</v>
      </c>
      <c r="CI251">
        <v>0</v>
      </c>
      <c r="CJ251" t="s">
        <v>273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100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100</v>
      </c>
      <c r="CW251" t="s">
        <v>274</v>
      </c>
      <c r="CX251" t="s">
        <v>268</v>
      </c>
      <c r="CY251">
        <v>0</v>
      </c>
    </row>
    <row r="252" spans="5:103" x14ac:dyDescent="0.2">
      <c r="E252">
        <v>0</v>
      </c>
      <c r="F252" t="s">
        <v>155</v>
      </c>
      <c r="G252">
        <v>0</v>
      </c>
      <c r="H252" t="s">
        <v>155</v>
      </c>
      <c r="AL252">
        <v>0</v>
      </c>
      <c r="AM252">
        <v>0.3</v>
      </c>
      <c r="AN252">
        <v>0.3</v>
      </c>
      <c r="AO252">
        <v>0.4</v>
      </c>
      <c r="AP252" t="s">
        <v>268</v>
      </c>
      <c r="AQ252">
        <v>0.3</v>
      </c>
      <c r="AR252">
        <v>0.3</v>
      </c>
      <c r="AS252">
        <v>0.2</v>
      </c>
      <c r="AT252">
        <v>0.2</v>
      </c>
      <c r="AU252" t="s">
        <v>268</v>
      </c>
      <c r="AV252" t="s">
        <v>34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100</v>
      </c>
      <c r="BC252">
        <v>0</v>
      </c>
      <c r="BD252">
        <v>0</v>
      </c>
      <c r="BE252">
        <v>0</v>
      </c>
      <c r="BF252">
        <v>0</v>
      </c>
      <c r="BG252">
        <v>0</v>
      </c>
      <c r="BH252" t="s">
        <v>270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100</v>
      </c>
      <c r="BO252">
        <v>0</v>
      </c>
      <c r="BP252">
        <v>0</v>
      </c>
      <c r="BQ252">
        <v>0</v>
      </c>
      <c r="BR252">
        <v>0</v>
      </c>
      <c r="BS252">
        <v>0</v>
      </c>
      <c r="BT252" t="s">
        <v>271</v>
      </c>
      <c r="BU252">
        <v>100</v>
      </c>
      <c r="BV252">
        <v>0</v>
      </c>
      <c r="BW252" t="s">
        <v>268</v>
      </c>
      <c r="BX252" t="s">
        <v>272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100</v>
      </c>
      <c r="CE252">
        <v>0</v>
      </c>
      <c r="CF252">
        <v>0</v>
      </c>
      <c r="CG252">
        <v>0</v>
      </c>
      <c r="CH252">
        <v>0</v>
      </c>
      <c r="CI252">
        <v>0</v>
      </c>
      <c r="CJ252" t="s">
        <v>273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100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100</v>
      </c>
      <c r="CW252" t="s">
        <v>274</v>
      </c>
      <c r="CX252" t="s">
        <v>268</v>
      </c>
      <c r="CY252">
        <v>0</v>
      </c>
    </row>
    <row r="253" spans="5:103" x14ac:dyDescent="0.2">
      <c r="E253">
        <v>0</v>
      </c>
      <c r="F253" t="s">
        <v>155</v>
      </c>
      <c r="G253">
        <v>0</v>
      </c>
      <c r="H253" t="s">
        <v>155</v>
      </c>
      <c r="AL253">
        <v>0</v>
      </c>
      <c r="AM253">
        <v>0.3</v>
      </c>
      <c r="AN253">
        <v>0.3</v>
      </c>
      <c r="AO253">
        <v>0.4</v>
      </c>
      <c r="AP253" t="s">
        <v>268</v>
      </c>
      <c r="AQ253">
        <v>0.3</v>
      </c>
      <c r="AR253">
        <v>0.3</v>
      </c>
      <c r="AS253">
        <v>0.2</v>
      </c>
      <c r="AT253">
        <v>0.2</v>
      </c>
      <c r="AU253" t="s">
        <v>268</v>
      </c>
      <c r="AV253" t="s">
        <v>34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100</v>
      </c>
      <c r="BC253">
        <v>0</v>
      </c>
      <c r="BD253">
        <v>0</v>
      </c>
      <c r="BE253">
        <v>0</v>
      </c>
      <c r="BF253">
        <v>0</v>
      </c>
      <c r="BG253">
        <v>0</v>
      </c>
      <c r="BH253" t="s">
        <v>270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100</v>
      </c>
      <c r="BO253">
        <v>0</v>
      </c>
      <c r="BP253">
        <v>0</v>
      </c>
      <c r="BQ253">
        <v>0</v>
      </c>
      <c r="BR253">
        <v>0</v>
      </c>
      <c r="BS253">
        <v>0</v>
      </c>
      <c r="BT253" t="s">
        <v>271</v>
      </c>
      <c r="BU253">
        <v>100</v>
      </c>
      <c r="BV253">
        <v>0</v>
      </c>
      <c r="BW253" t="s">
        <v>268</v>
      </c>
      <c r="BX253" t="s">
        <v>272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100</v>
      </c>
      <c r="CE253">
        <v>0</v>
      </c>
      <c r="CF253">
        <v>0</v>
      </c>
      <c r="CG253">
        <v>0</v>
      </c>
      <c r="CH253">
        <v>0</v>
      </c>
      <c r="CI253">
        <v>0</v>
      </c>
      <c r="CJ253" t="s">
        <v>273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100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100</v>
      </c>
      <c r="CW253" t="s">
        <v>274</v>
      </c>
      <c r="CX253" t="s">
        <v>268</v>
      </c>
      <c r="CY253">
        <v>0</v>
      </c>
    </row>
    <row r="254" spans="5:103" x14ac:dyDescent="0.2">
      <c r="E254">
        <v>0</v>
      </c>
      <c r="F254" t="s">
        <v>155</v>
      </c>
      <c r="G254">
        <v>0</v>
      </c>
      <c r="H254" t="s">
        <v>155</v>
      </c>
      <c r="AL254">
        <v>0</v>
      </c>
      <c r="AM254">
        <v>0.3</v>
      </c>
      <c r="AN254">
        <v>0.3</v>
      </c>
      <c r="AO254">
        <v>0.4</v>
      </c>
      <c r="AP254" t="s">
        <v>268</v>
      </c>
      <c r="AQ254">
        <v>0.3</v>
      </c>
      <c r="AR254">
        <v>0.3</v>
      </c>
      <c r="AS254">
        <v>0.2</v>
      </c>
      <c r="AT254">
        <v>0.2</v>
      </c>
      <c r="AU254" t="s">
        <v>268</v>
      </c>
      <c r="AV254" t="s">
        <v>34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100</v>
      </c>
      <c r="BC254">
        <v>0</v>
      </c>
      <c r="BD254">
        <v>0</v>
      </c>
      <c r="BE254">
        <v>0</v>
      </c>
      <c r="BF254">
        <v>0</v>
      </c>
      <c r="BG254">
        <v>0</v>
      </c>
      <c r="BH254" t="s">
        <v>270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100</v>
      </c>
      <c r="BO254">
        <v>0</v>
      </c>
      <c r="BP254">
        <v>0</v>
      </c>
      <c r="BQ254">
        <v>0</v>
      </c>
      <c r="BR254">
        <v>0</v>
      </c>
      <c r="BS254">
        <v>0</v>
      </c>
      <c r="BT254" t="s">
        <v>271</v>
      </c>
      <c r="BU254">
        <v>100</v>
      </c>
      <c r="BV254">
        <v>0</v>
      </c>
      <c r="BW254" t="s">
        <v>268</v>
      </c>
      <c r="BX254" t="s">
        <v>272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100</v>
      </c>
      <c r="CE254">
        <v>0</v>
      </c>
      <c r="CF254">
        <v>0</v>
      </c>
      <c r="CG254">
        <v>0</v>
      </c>
      <c r="CH254">
        <v>0</v>
      </c>
      <c r="CI254">
        <v>0</v>
      </c>
      <c r="CJ254" t="s">
        <v>273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100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100</v>
      </c>
      <c r="CW254" t="s">
        <v>274</v>
      </c>
      <c r="CX254" t="s">
        <v>268</v>
      </c>
      <c r="CY254">
        <v>0</v>
      </c>
    </row>
    <row r="255" spans="5:103" x14ac:dyDescent="0.2">
      <c r="E255">
        <v>0</v>
      </c>
      <c r="F255" t="s">
        <v>155</v>
      </c>
      <c r="G255">
        <v>0</v>
      </c>
      <c r="H255" t="s">
        <v>155</v>
      </c>
      <c r="AL255">
        <v>0</v>
      </c>
      <c r="AM255">
        <v>0.3</v>
      </c>
      <c r="AN255">
        <v>0.3</v>
      </c>
      <c r="AO255">
        <v>0.4</v>
      </c>
      <c r="AP255" t="s">
        <v>268</v>
      </c>
      <c r="AQ255">
        <v>0.3</v>
      </c>
      <c r="AR255">
        <v>0.3</v>
      </c>
      <c r="AS255">
        <v>0.2</v>
      </c>
      <c r="AT255">
        <v>0.2</v>
      </c>
      <c r="AU255" t="s">
        <v>268</v>
      </c>
      <c r="AV255" t="s">
        <v>34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100</v>
      </c>
      <c r="BC255">
        <v>0</v>
      </c>
      <c r="BD255">
        <v>0</v>
      </c>
      <c r="BE255">
        <v>0</v>
      </c>
      <c r="BF255">
        <v>0</v>
      </c>
      <c r="BG255">
        <v>0</v>
      </c>
      <c r="BH255" t="s">
        <v>270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100</v>
      </c>
      <c r="BO255">
        <v>0</v>
      </c>
      <c r="BP255">
        <v>0</v>
      </c>
      <c r="BQ255">
        <v>0</v>
      </c>
      <c r="BR255">
        <v>0</v>
      </c>
      <c r="BS255">
        <v>0</v>
      </c>
      <c r="BT255" t="s">
        <v>271</v>
      </c>
      <c r="BU255">
        <v>100</v>
      </c>
      <c r="BV255">
        <v>0</v>
      </c>
      <c r="BW255" t="s">
        <v>268</v>
      </c>
      <c r="BX255" t="s">
        <v>272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100</v>
      </c>
      <c r="CE255">
        <v>0</v>
      </c>
      <c r="CF255">
        <v>0</v>
      </c>
      <c r="CG255">
        <v>0</v>
      </c>
      <c r="CH255">
        <v>0</v>
      </c>
      <c r="CI255">
        <v>0</v>
      </c>
      <c r="CJ255" t="s">
        <v>273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100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100</v>
      </c>
      <c r="CW255" t="s">
        <v>274</v>
      </c>
      <c r="CX255" t="s">
        <v>268</v>
      </c>
      <c r="CY255">
        <v>0</v>
      </c>
    </row>
    <row r="256" spans="5:103" x14ac:dyDescent="0.2">
      <c r="E256">
        <v>0</v>
      </c>
      <c r="F256" t="s">
        <v>155</v>
      </c>
      <c r="G256">
        <v>0</v>
      </c>
      <c r="H256" t="s">
        <v>155</v>
      </c>
      <c r="AL256">
        <v>0</v>
      </c>
      <c r="AM256">
        <v>0.3</v>
      </c>
      <c r="AN256">
        <v>0.3</v>
      </c>
      <c r="AO256">
        <v>0.4</v>
      </c>
      <c r="AP256" t="s">
        <v>268</v>
      </c>
      <c r="AQ256">
        <v>0.3</v>
      </c>
      <c r="AR256">
        <v>0.3</v>
      </c>
      <c r="AS256">
        <v>0.2</v>
      </c>
      <c r="AT256">
        <v>0.2</v>
      </c>
      <c r="AU256" t="s">
        <v>268</v>
      </c>
      <c r="AV256" t="s">
        <v>34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100</v>
      </c>
      <c r="BC256">
        <v>0</v>
      </c>
      <c r="BD256">
        <v>0</v>
      </c>
      <c r="BE256">
        <v>0</v>
      </c>
      <c r="BF256">
        <v>0</v>
      </c>
      <c r="BG256">
        <v>0</v>
      </c>
      <c r="BH256" t="s">
        <v>270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100</v>
      </c>
      <c r="BO256">
        <v>0</v>
      </c>
      <c r="BP256">
        <v>0</v>
      </c>
      <c r="BQ256">
        <v>0</v>
      </c>
      <c r="BR256">
        <v>0</v>
      </c>
      <c r="BS256">
        <v>0</v>
      </c>
      <c r="BT256" t="s">
        <v>271</v>
      </c>
      <c r="BU256">
        <v>100</v>
      </c>
      <c r="BV256">
        <v>0</v>
      </c>
      <c r="BW256" t="s">
        <v>268</v>
      </c>
      <c r="BX256" t="s">
        <v>272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100</v>
      </c>
      <c r="CE256">
        <v>0</v>
      </c>
      <c r="CF256">
        <v>0</v>
      </c>
      <c r="CG256">
        <v>0</v>
      </c>
      <c r="CH256">
        <v>0</v>
      </c>
      <c r="CI256">
        <v>0</v>
      </c>
      <c r="CJ256" t="s">
        <v>273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100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100</v>
      </c>
      <c r="CW256" t="s">
        <v>274</v>
      </c>
      <c r="CX256" t="s">
        <v>268</v>
      </c>
      <c r="CY256">
        <v>0</v>
      </c>
    </row>
    <row r="257" spans="5:103" x14ac:dyDescent="0.2">
      <c r="E257">
        <v>0</v>
      </c>
      <c r="F257" t="s">
        <v>155</v>
      </c>
      <c r="G257">
        <v>0</v>
      </c>
      <c r="H257" t="s">
        <v>155</v>
      </c>
      <c r="AL257">
        <v>0</v>
      </c>
      <c r="AM257">
        <v>0.3</v>
      </c>
      <c r="AN257">
        <v>0.3</v>
      </c>
      <c r="AO257">
        <v>0.4</v>
      </c>
      <c r="AP257" t="s">
        <v>268</v>
      </c>
      <c r="AQ257">
        <v>0.3</v>
      </c>
      <c r="AR257">
        <v>0.3</v>
      </c>
      <c r="AS257">
        <v>0.2</v>
      </c>
      <c r="AT257">
        <v>0.2</v>
      </c>
      <c r="AU257" t="s">
        <v>268</v>
      </c>
      <c r="AV257" t="s">
        <v>34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100</v>
      </c>
      <c r="BC257">
        <v>0</v>
      </c>
      <c r="BD257">
        <v>0</v>
      </c>
      <c r="BE257">
        <v>0</v>
      </c>
      <c r="BF257">
        <v>0</v>
      </c>
      <c r="BG257">
        <v>0</v>
      </c>
      <c r="BH257" t="s">
        <v>270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100</v>
      </c>
      <c r="BO257">
        <v>0</v>
      </c>
      <c r="BP257">
        <v>0</v>
      </c>
      <c r="BQ257">
        <v>0</v>
      </c>
      <c r="BR257">
        <v>0</v>
      </c>
      <c r="BS257">
        <v>0</v>
      </c>
      <c r="BT257" t="s">
        <v>271</v>
      </c>
      <c r="BU257">
        <v>100</v>
      </c>
      <c r="BV257">
        <v>0</v>
      </c>
      <c r="BW257" t="s">
        <v>268</v>
      </c>
      <c r="BX257" t="s">
        <v>272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100</v>
      </c>
      <c r="CE257">
        <v>0</v>
      </c>
      <c r="CF257">
        <v>0</v>
      </c>
      <c r="CG257">
        <v>0</v>
      </c>
      <c r="CH257">
        <v>0</v>
      </c>
      <c r="CI257">
        <v>0</v>
      </c>
      <c r="CJ257" t="s">
        <v>273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100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100</v>
      </c>
      <c r="CW257" t="s">
        <v>274</v>
      </c>
      <c r="CX257" t="s">
        <v>268</v>
      </c>
      <c r="CY257">
        <v>0</v>
      </c>
    </row>
    <row r="258" spans="5:103" x14ac:dyDescent="0.2">
      <c r="E258">
        <v>0</v>
      </c>
      <c r="F258" t="s">
        <v>155</v>
      </c>
      <c r="G258">
        <v>0</v>
      </c>
      <c r="H258" t="s">
        <v>155</v>
      </c>
      <c r="AL258">
        <v>0</v>
      </c>
      <c r="AM258">
        <v>0.3</v>
      </c>
      <c r="AN258">
        <v>0.3</v>
      </c>
      <c r="AO258">
        <v>0.4</v>
      </c>
      <c r="AP258" t="s">
        <v>268</v>
      </c>
      <c r="AQ258">
        <v>0.3</v>
      </c>
      <c r="AR258">
        <v>0.3</v>
      </c>
      <c r="AS258">
        <v>0.2</v>
      </c>
      <c r="AT258">
        <v>0.2</v>
      </c>
      <c r="AU258" t="s">
        <v>268</v>
      </c>
      <c r="AV258" t="s">
        <v>34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100</v>
      </c>
      <c r="BC258">
        <v>0</v>
      </c>
      <c r="BD258">
        <v>0</v>
      </c>
      <c r="BE258">
        <v>0</v>
      </c>
      <c r="BF258">
        <v>0</v>
      </c>
      <c r="BG258">
        <v>0</v>
      </c>
      <c r="BH258" t="s">
        <v>270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100</v>
      </c>
      <c r="BO258">
        <v>0</v>
      </c>
      <c r="BP258">
        <v>0</v>
      </c>
      <c r="BQ258">
        <v>0</v>
      </c>
      <c r="BR258">
        <v>0</v>
      </c>
      <c r="BS258">
        <v>0</v>
      </c>
      <c r="BT258" t="s">
        <v>271</v>
      </c>
      <c r="BU258">
        <v>100</v>
      </c>
      <c r="BV258">
        <v>0</v>
      </c>
      <c r="BW258" t="s">
        <v>268</v>
      </c>
      <c r="BX258" t="s">
        <v>272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100</v>
      </c>
      <c r="CE258">
        <v>0</v>
      </c>
      <c r="CF258">
        <v>0</v>
      </c>
      <c r="CG258">
        <v>0</v>
      </c>
      <c r="CH258">
        <v>0</v>
      </c>
      <c r="CI258">
        <v>0</v>
      </c>
      <c r="CJ258" t="s">
        <v>273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100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100</v>
      </c>
      <c r="CW258" t="s">
        <v>274</v>
      </c>
      <c r="CX258" t="s">
        <v>268</v>
      </c>
      <c r="CY258">
        <v>0</v>
      </c>
    </row>
    <row r="259" spans="5:103" x14ac:dyDescent="0.2">
      <c r="E259">
        <v>0</v>
      </c>
      <c r="F259" t="s">
        <v>155</v>
      </c>
      <c r="G259">
        <v>0</v>
      </c>
      <c r="H259" t="s">
        <v>155</v>
      </c>
      <c r="AL259">
        <v>0</v>
      </c>
      <c r="AM259">
        <v>0.3</v>
      </c>
      <c r="AN259">
        <v>0.3</v>
      </c>
      <c r="AO259">
        <v>0.4</v>
      </c>
      <c r="AP259" t="s">
        <v>268</v>
      </c>
      <c r="AQ259">
        <v>0.3</v>
      </c>
      <c r="AR259">
        <v>0.3</v>
      </c>
      <c r="AS259">
        <v>0.2</v>
      </c>
      <c r="AT259">
        <v>0.2</v>
      </c>
      <c r="AU259" t="s">
        <v>268</v>
      </c>
      <c r="AV259" t="s">
        <v>34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100</v>
      </c>
      <c r="BC259">
        <v>0</v>
      </c>
      <c r="BD259">
        <v>0</v>
      </c>
      <c r="BE259">
        <v>0</v>
      </c>
      <c r="BF259">
        <v>0</v>
      </c>
      <c r="BG259">
        <v>0</v>
      </c>
      <c r="BH259" t="s">
        <v>270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100</v>
      </c>
      <c r="BO259">
        <v>0</v>
      </c>
      <c r="BP259">
        <v>0</v>
      </c>
      <c r="BQ259">
        <v>0</v>
      </c>
      <c r="BR259">
        <v>0</v>
      </c>
      <c r="BS259">
        <v>0</v>
      </c>
      <c r="BT259" t="s">
        <v>271</v>
      </c>
      <c r="BU259">
        <v>100</v>
      </c>
      <c r="BV259">
        <v>0</v>
      </c>
      <c r="BW259" t="s">
        <v>268</v>
      </c>
      <c r="BX259" t="s">
        <v>272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100</v>
      </c>
      <c r="CE259">
        <v>0</v>
      </c>
      <c r="CF259">
        <v>0</v>
      </c>
      <c r="CG259">
        <v>0</v>
      </c>
      <c r="CH259">
        <v>0</v>
      </c>
      <c r="CI259">
        <v>0</v>
      </c>
      <c r="CJ259" t="s">
        <v>273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100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100</v>
      </c>
      <c r="CW259" t="s">
        <v>274</v>
      </c>
      <c r="CX259" t="s">
        <v>268</v>
      </c>
      <c r="CY259">
        <v>0</v>
      </c>
    </row>
    <row r="260" spans="5:103" x14ac:dyDescent="0.2">
      <c r="E260">
        <v>0</v>
      </c>
      <c r="F260" t="s">
        <v>155</v>
      </c>
      <c r="G260">
        <v>0</v>
      </c>
      <c r="H260" t="s">
        <v>155</v>
      </c>
      <c r="AL260">
        <v>0</v>
      </c>
      <c r="AM260">
        <v>0.3</v>
      </c>
      <c r="AN260">
        <v>0.3</v>
      </c>
      <c r="AO260">
        <v>0.4</v>
      </c>
      <c r="AP260" t="s">
        <v>268</v>
      </c>
      <c r="AQ260">
        <v>0.3</v>
      </c>
      <c r="AR260">
        <v>0.3</v>
      </c>
      <c r="AS260">
        <v>0.2</v>
      </c>
      <c r="AT260">
        <v>0.2</v>
      </c>
      <c r="AU260" t="s">
        <v>268</v>
      </c>
      <c r="AV260" t="s">
        <v>34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100</v>
      </c>
      <c r="BC260">
        <v>0</v>
      </c>
      <c r="BD260">
        <v>0</v>
      </c>
      <c r="BE260">
        <v>0</v>
      </c>
      <c r="BF260">
        <v>0</v>
      </c>
      <c r="BG260">
        <v>0</v>
      </c>
      <c r="BH260" t="s">
        <v>270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100</v>
      </c>
      <c r="BO260">
        <v>0</v>
      </c>
      <c r="BP260">
        <v>0</v>
      </c>
      <c r="BQ260">
        <v>0</v>
      </c>
      <c r="BR260">
        <v>0</v>
      </c>
      <c r="BS260">
        <v>0</v>
      </c>
      <c r="BT260" t="s">
        <v>271</v>
      </c>
      <c r="BU260">
        <v>100</v>
      </c>
      <c r="BV260">
        <v>0</v>
      </c>
      <c r="BW260" t="s">
        <v>268</v>
      </c>
      <c r="BX260" t="s">
        <v>272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100</v>
      </c>
      <c r="CE260">
        <v>0</v>
      </c>
      <c r="CF260">
        <v>0</v>
      </c>
      <c r="CG260">
        <v>0</v>
      </c>
      <c r="CH260">
        <v>0</v>
      </c>
      <c r="CI260">
        <v>0</v>
      </c>
      <c r="CJ260" t="s">
        <v>273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100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100</v>
      </c>
      <c r="CW260" t="s">
        <v>274</v>
      </c>
      <c r="CX260" t="s">
        <v>268</v>
      </c>
      <c r="CY260">
        <v>0</v>
      </c>
    </row>
    <row r="261" spans="5:103" x14ac:dyDescent="0.2">
      <c r="E261">
        <v>0</v>
      </c>
      <c r="F261" t="s">
        <v>155</v>
      </c>
      <c r="G261">
        <v>0</v>
      </c>
      <c r="H261" t="s">
        <v>155</v>
      </c>
      <c r="AL261">
        <v>0</v>
      </c>
      <c r="AM261">
        <v>0.3</v>
      </c>
      <c r="AN261">
        <v>0.3</v>
      </c>
      <c r="AO261">
        <v>0.4</v>
      </c>
      <c r="AP261" t="s">
        <v>268</v>
      </c>
      <c r="AQ261">
        <v>0.3</v>
      </c>
      <c r="AR261">
        <v>0.3</v>
      </c>
      <c r="AS261">
        <v>0.2</v>
      </c>
      <c r="AT261">
        <v>0.2</v>
      </c>
      <c r="AU261" t="s">
        <v>268</v>
      </c>
      <c r="AV261" t="s">
        <v>34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100</v>
      </c>
      <c r="BC261">
        <v>0</v>
      </c>
      <c r="BD261">
        <v>0</v>
      </c>
      <c r="BE261">
        <v>0</v>
      </c>
      <c r="BF261">
        <v>0</v>
      </c>
      <c r="BG261">
        <v>0</v>
      </c>
      <c r="BH261" t="s">
        <v>270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100</v>
      </c>
      <c r="BO261">
        <v>0</v>
      </c>
      <c r="BP261">
        <v>0</v>
      </c>
      <c r="BQ261">
        <v>0</v>
      </c>
      <c r="BR261">
        <v>0</v>
      </c>
      <c r="BS261">
        <v>0</v>
      </c>
      <c r="BT261" t="s">
        <v>271</v>
      </c>
      <c r="BU261">
        <v>100</v>
      </c>
      <c r="BV261">
        <v>0</v>
      </c>
      <c r="BW261" t="s">
        <v>268</v>
      </c>
      <c r="BX261" t="s">
        <v>272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100</v>
      </c>
      <c r="CE261">
        <v>0</v>
      </c>
      <c r="CF261">
        <v>0</v>
      </c>
      <c r="CG261">
        <v>0</v>
      </c>
      <c r="CH261">
        <v>0</v>
      </c>
      <c r="CI261">
        <v>0</v>
      </c>
      <c r="CJ261" t="s">
        <v>273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100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100</v>
      </c>
      <c r="CW261" t="s">
        <v>274</v>
      </c>
      <c r="CX261" t="s">
        <v>268</v>
      </c>
      <c r="CY261">
        <v>0</v>
      </c>
    </row>
    <row r="262" spans="5:103" x14ac:dyDescent="0.2">
      <c r="E262">
        <v>0</v>
      </c>
      <c r="F262" t="s">
        <v>155</v>
      </c>
      <c r="G262">
        <v>0</v>
      </c>
      <c r="H262" t="s">
        <v>155</v>
      </c>
      <c r="AL262">
        <v>0</v>
      </c>
      <c r="AM262">
        <v>0.3</v>
      </c>
      <c r="AN262">
        <v>0.3</v>
      </c>
      <c r="AO262">
        <v>0.4</v>
      </c>
      <c r="AP262" t="s">
        <v>268</v>
      </c>
      <c r="AQ262">
        <v>0.3</v>
      </c>
      <c r="AR262">
        <v>0.3</v>
      </c>
      <c r="AS262">
        <v>0.2</v>
      </c>
      <c r="AT262">
        <v>0.2</v>
      </c>
      <c r="AU262" t="s">
        <v>268</v>
      </c>
      <c r="AV262" t="s">
        <v>34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100</v>
      </c>
      <c r="BC262">
        <v>0</v>
      </c>
      <c r="BD262">
        <v>0</v>
      </c>
      <c r="BE262">
        <v>0</v>
      </c>
      <c r="BF262">
        <v>0</v>
      </c>
      <c r="BG262">
        <v>0</v>
      </c>
      <c r="BH262" t="s">
        <v>270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100</v>
      </c>
      <c r="BO262">
        <v>0</v>
      </c>
      <c r="BP262">
        <v>0</v>
      </c>
      <c r="BQ262">
        <v>0</v>
      </c>
      <c r="BR262">
        <v>0</v>
      </c>
      <c r="BS262">
        <v>0</v>
      </c>
      <c r="BT262" t="s">
        <v>271</v>
      </c>
      <c r="BU262">
        <v>100</v>
      </c>
      <c r="BV262">
        <v>0</v>
      </c>
      <c r="BW262" t="s">
        <v>268</v>
      </c>
      <c r="BX262" t="s">
        <v>272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100</v>
      </c>
      <c r="CE262">
        <v>0</v>
      </c>
      <c r="CF262">
        <v>0</v>
      </c>
      <c r="CG262">
        <v>0</v>
      </c>
      <c r="CH262">
        <v>0</v>
      </c>
      <c r="CI262">
        <v>0</v>
      </c>
      <c r="CJ262" t="s">
        <v>273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100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100</v>
      </c>
      <c r="CW262" t="s">
        <v>274</v>
      </c>
      <c r="CX262" t="s">
        <v>268</v>
      </c>
      <c r="CY262">
        <v>0</v>
      </c>
    </row>
    <row r="263" spans="5:103" x14ac:dyDescent="0.2">
      <c r="E263">
        <v>0</v>
      </c>
      <c r="F263" t="s">
        <v>155</v>
      </c>
      <c r="G263">
        <v>0</v>
      </c>
      <c r="H263" t="s">
        <v>155</v>
      </c>
      <c r="AL263">
        <v>0</v>
      </c>
      <c r="AM263">
        <v>0.3</v>
      </c>
      <c r="AN263">
        <v>0.3</v>
      </c>
      <c r="AO263">
        <v>0.4</v>
      </c>
      <c r="AP263" t="s">
        <v>268</v>
      </c>
      <c r="AQ263">
        <v>0.3</v>
      </c>
      <c r="AR263">
        <v>0.3</v>
      </c>
      <c r="AS263">
        <v>0.2</v>
      </c>
      <c r="AT263">
        <v>0.2</v>
      </c>
      <c r="AU263" t="s">
        <v>268</v>
      </c>
      <c r="AV263" t="s">
        <v>34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100</v>
      </c>
      <c r="BC263">
        <v>0</v>
      </c>
      <c r="BD263">
        <v>0</v>
      </c>
      <c r="BE263">
        <v>0</v>
      </c>
      <c r="BF263">
        <v>0</v>
      </c>
      <c r="BG263">
        <v>0</v>
      </c>
      <c r="BH263" t="s">
        <v>270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100</v>
      </c>
      <c r="BO263">
        <v>0</v>
      </c>
      <c r="BP263">
        <v>0</v>
      </c>
      <c r="BQ263">
        <v>0</v>
      </c>
      <c r="BR263">
        <v>0</v>
      </c>
      <c r="BS263">
        <v>0</v>
      </c>
      <c r="BT263" t="s">
        <v>271</v>
      </c>
      <c r="BU263">
        <v>100</v>
      </c>
      <c r="BV263">
        <v>0</v>
      </c>
      <c r="BW263" t="s">
        <v>268</v>
      </c>
      <c r="BX263" t="s">
        <v>272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100</v>
      </c>
      <c r="CE263">
        <v>0</v>
      </c>
      <c r="CF263">
        <v>0</v>
      </c>
      <c r="CG263">
        <v>0</v>
      </c>
      <c r="CH263">
        <v>0</v>
      </c>
      <c r="CI263">
        <v>0</v>
      </c>
      <c r="CJ263" t="s">
        <v>273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100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100</v>
      </c>
      <c r="CW263" t="s">
        <v>274</v>
      </c>
      <c r="CX263" t="s">
        <v>268</v>
      </c>
      <c r="CY263">
        <v>0</v>
      </c>
    </row>
    <row r="264" spans="5:103" x14ac:dyDescent="0.2">
      <c r="E264">
        <v>0</v>
      </c>
      <c r="F264" t="s">
        <v>155</v>
      </c>
      <c r="G264">
        <v>0</v>
      </c>
      <c r="H264" t="s">
        <v>155</v>
      </c>
      <c r="AL264">
        <v>0</v>
      </c>
      <c r="AM264">
        <v>0.3</v>
      </c>
      <c r="AN264">
        <v>0.3</v>
      </c>
      <c r="AO264">
        <v>0.4</v>
      </c>
      <c r="AP264" t="s">
        <v>268</v>
      </c>
      <c r="AQ264">
        <v>0.3</v>
      </c>
      <c r="AR264">
        <v>0.3</v>
      </c>
      <c r="AS264">
        <v>0.2</v>
      </c>
      <c r="AT264">
        <v>0.2</v>
      </c>
      <c r="AU264" t="s">
        <v>268</v>
      </c>
      <c r="AV264" t="s">
        <v>34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100</v>
      </c>
      <c r="BC264">
        <v>0</v>
      </c>
      <c r="BD264">
        <v>0</v>
      </c>
      <c r="BE264">
        <v>0</v>
      </c>
      <c r="BF264">
        <v>0</v>
      </c>
      <c r="BG264">
        <v>0</v>
      </c>
      <c r="BH264" t="s">
        <v>270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100</v>
      </c>
      <c r="BO264">
        <v>0</v>
      </c>
      <c r="BP264">
        <v>0</v>
      </c>
      <c r="BQ264">
        <v>0</v>
      </c>
      <c r="BR264">
        <v>0</v>
      </c>
      <c r="BS264">
        <v>0</v>
      </c>
      <c r="BT264" t="s">
        <v>271</v>
      </c>
      <c r="BU264">
        <v>100</v>
      </c>
      <c r="BV264">
        <v>0</v>
      </c>
      <c r="BW264" t="s">
        <v>268</v>
      </c>
      <c r="BX264" t="s">
        <v>272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100</v>
      </c>
      <c r="CE264">
        <v>0</v>
      </c>
      <c r="CF264">
        <v>0</v>
      </c>
      <c r="CG264">
        <v>0</v>
      </c>
      <c r="CH264">
        <v>0</v>
      </c>
      <c r="CI264">
        <v>0</v>
      </c>
      <c r="CJ264" t="s">
        <v>273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100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100</v>
      </c>
      <c r="CW264" t="s">
        <v>274</v>
      </c>
      <c r="CX264" t="s">
        <v>268</v>
      </c>
      <c r="CY264">
        <v>0</v>
      </c>
    </row>
    <row r="265" spans="5:103" x14ac:dyDescent="0.2">
      <c r="E265">
        <v>0</v>
      </c>
      <c r="F265" t="s">
        <v>155</v>
      </c>
      <c r="G265">
        <v>0</v>
      </c>
      <c r="H265" t="s">
        <v>155</v>
      </c>
      <c r="AL265">
        <v>0</v>
      </c>
      <c r="AM265">
        <v>0.3</v>
      </c>
      <c r="AN265">
        <v>0.3</v>
      </c>
      <c r="AO265">
        <v>0.4</v>
      </c>
      <c r="AP265" t="s">
        <v>268</v>
      </c>
      <c r="AQ265">
        <v>0.3</v>
      </c>
      <c r="AR265">
        <v>0.3</v>
      </c>
      <c r="AS265">
        <v>0.2</v>
      </c>
      <c r="AT265">
        <v>0.2</v>
      </c>
      <c r="AU265" t="s">
        <v>268</v>
      </c>
      <c r="AV265" t="s">
        <v>34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100</v>
      </c>
      <c r="BC265">
        <v>0</v>
      </c>
      <c r="BD265">
        <v>0</v>
      </c>
      <c r="BE265">
        <v>0</v>
      </c>
      <c r="BF265">
        <v>0</v>
      </c>
      <c r="BG265">
        <v>0</v>
      </c>
      <c r="BH265" t="s">
        <v>270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100</v>
      </c>
      <c r="BO265">
        <v>0</v>
      </c>
      <c r="BP265">
        <v>0</v>
      </c>
      <c r="BQ265">
        <v>0</v>
      </c>
      <c r="BR265">
        <v>0</v>
      </c>
      <c r="BS265">
        <v>0</v>
      </c>
      <c r="BT265" t="s">
        <v>271</v>
      </c>
      <c r="BU265">
        <v>100</v>
      </c>
      <c r="BV265">
        <v>0</v>
      </c>
      <c r="BW265" t="s">
        <v>268</v>
      </c>
      <c r="BX265" t="s">
        <v>272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100</v>
      </c>
      <c r="CE265">
        <v>0</v>
      </c>
      <c r="CF265">
        <v>0</v>
      </c>
      <c r="CG265">
        <v>0</v>
      </c>
      <c r="CH265">
        <v>0</v>
      </c>
      <c r="CI265">
        <v>0</v>
      </c>
      <c r="CJ265" t="s">
        <v>273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100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100</v>
      </c>
      <c r="CW265" t="s">
        <v>274</v>
      </c>
      <c r="CX265" t="s">
        <v>268</v>
      </c>
      <c r="CY265">
        <v>0</v>
      </c>
    </row>
    <row r="266" spans="5:103" x14ac:dyDescent="0.2">
      <c r="E266">
        <v>0</v>
      </c>
      <c r="F266" t="s">
        <v>155</v>
      </c>
      <c r="G266">
        <v>0</v>
      </c>
      <c r="H266" t="s">
        <v>155</v>
      </c>
      <c r="AL266">
        <v>0</v>
      </c>
      <c r="AM266">
        <v>0.3</v>
      </c>
      <c r="AN266">
        <v>0.3</v>
      </c>
      <c r="AO266">
        <v>0.4</v>
      </c>
      <c r="AP266" t="s">
        <v>268</v>
      </c>
      <c r="AQ266">
        <v>0.3</v>
      </c>
      <c r="AR266">
        <v>0.3</v>
      </c>
      <c r="AS266">
        <v>0.2</v>
      </c>
      <c r="AT266">
        <v>0.2</v>
      </c>
      <c r="AU266" t="s">
        <v>268</v>
      </c>
      <c r="AV266" t="s">
        <v>34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100</v>
      </c>
      <c r="BC266">
        <v>0</v>
      </c>
      <c r="BD266">
        <v>0</v>
      </c>
      <c r="BE266">
        <v>0</v>
      </c>
      <c r="BF266">
        <v>0</v>
      </c>
      <c r="BG266">
        <v>0</v>
      </c>
      <c r="BH266" t="s">
        <v>270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100</v>
      </c>
      <c r="BO266">
        <v>0</v>
      </c>
      <c r="BP266">
        <v>0</v>
      </c>
      <c r="BQ266">
        <v>0</v>
      </c>
      <c r="BR266">
        <v>0</v>
      </c>
      <c r="BS266">
        <v>0</v>
      </c>
      <c r="BT266" t="s">
        <v>271</v>
      </c>
      <c r="BU266">
        <v>100</v>
      </c>
      <c r="BV266">
        <v>0</v>
      </c>
      <c r="BW266" t="s">
        <v>268</v>
      </c>
      <c r="BX266" t="s">
        <v>272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100</v>
      </c>
      <c r="CE266">
        <v>0</v>
      </c>
      <c r="CF266">
        <v>0</v>
      </c>
      <c r="CG266">
        <v>0</v>
      </c>
      <c r="CH266">
        <v>0</v>
      </c>
      <c r="CI266">
        <v>0</v>
      </c>
      <c r="CJ266" t="s">
        <v>273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100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100</v>
      </c>
      <c r="CW266" t="s">
        <v>274</v>
      </c>
      <c r="CX266" t="s">
        <v>268</v>
      </c>
      <c r="CY266">
        <v>0</v>
      </c>
    </row>
    <row r="267" spans="5:103" x14ac:dyDescent="0.2">
      <c r="E267">
        <v>0</v>
      </c>
      <c r="F267" t="s">
        <v>155</v>
      </c>
      <c r="G267">
        <v>0</v>
      </c>
      <c r="H267" t="s">
        <v>155</v>
      </c>
      <c r="AL267">
        <v>0</v>
      </c>
      <c r="AM267">
        <v>0.3</v>
      </c>
      <c r="AN267">
        <v>0.3</v>
      </c>
      <c r="AO267">
        <v>0.4</v>
      </c>
      <c r="AP267" t="s">
        <v>268</v>
      </c>
      <c r="AQ267">
        <v>0.3</v>
      </c>
      <c r="AR267">
        <v>0.3</v>
      </c>
      <c r="AS267">
        <v>0.2</v>
      </c>
      <c r="AT267">
        <v>0.2</v>
      </c>
      <c r="AU267" t="s">
        <v>268</v>
      </c>
      <c r="AV267" t="s">
        <v>34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100</v>
      </c>
      <c r="BC267">
        <v>0</v>
      </c>
      <c r="BD267">
        <v>0</v>
      </c>
      <c r="BE267">
        <v>0</v>
      </c>
      <c r="BF267">
        <v>0</v>
      </c>
      <c r="BG267">
        <v>0</v>
      </c>
      <c r="BH267" t="s">
        <v>270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100</v>
      </c>
      <c r="BO267">
        <v>0</v>
      </c>
      <c r="BP267">
        <v>0</v>
      </c>
      <c r="BQ267">
        <v>0</v>
      </c>
      <c r="BR267">
        <v>0</v>
      </c>
      <c r="BS267">
        <v>0</v>
      </c>
      <c r="BT267" t="s">
        <v>271</v>
      </c>
      <c r="BU267">
        <v>100</v>
      </c>
      <c r="BV267">
        <v>0</v>
      </c>
      <c r="BW267" t="s">
        <v>268</v>
      </c>
      <c r="BX267" t="s">
        <v>272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100</v>
      </c>
      <c r="CE267">
        <v>0</v>
      </c>
      <c r="CF267">
        <v>0</v>
      </c>
      <c r="CG267">
        <v>0</v>
      </c>
      <c r="CH267">
        <v>0</v>
      </c>
      <c r="CI267">
        <v>0</v>
      </c>
      <c r="CJ267" t="s">
        <v>273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100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100</v>
      </c>
      <c r="CW267" t="s">
        <v>274</v>
      </c>
      <c r="CX267" t="s">
        <v>268</v>
      </c>
      <c r="CY267">
        <v>0</v>
      </c>
    </row>
    <row r="268" spans="5:103" x14ac:dyDescent="0.2">
      <c r="E268">
        <v>0</v>
      </c>
      <c r="F268" t="s">
        <v>155</v>
      </c>
      <c r="G268">
        <v>0</v>
      </c>
      <c r="H268" t="s">
        <v>155</v>
      </c>
      <c r="AL268">
        <v>0</v>
      </c>
      <c r="AM268">
        <v>0.3</v>
      </c>
      <c r="AN268">
        <v>0.3</v>
      </c>
      <c r="AO268">
        <v>0.4</v>
      </c>
      <c r="AP268" t="s">
        <v>268</v>
      </c>
      <c r="AQ268">
        <v>0.3</v>
      </c>
      <c r="AR268">
        <v>0.3</v>
      </c>
      <c r="AS268">
        <v>0.2</v>
      </c>
      <c r="AT268">
        <v>0.2</v>
      </c>
      <c r="AU268" t="s">
        <v>268</v>
      </c>
      <c r="AV268" t="s">
        <v>34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100</v>
      </c>
      <c r="BC268">
        <v>0</v>
      </c>
      <c r="BD268">
        <v>0</v>
      </c>
      <c r="BE268">
        <v>0</v>
      </c>
      <c r="BF268">
        <v>0</v>
      </c>
      <c r="BG268">
        <v>0</v>
      </c>
      <c r="BH268" t="s">
        <v>270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100</v>
      </c>
      <c r="BO268">
        <v>0</v>
      </c>
      <c r="BP268">
        <v>0</v>
      </c>
      <c r="BQ268">
        <v>0</v>
      </c>
      <c r="BR268">
        <v>0</v>
      </c>
      <c r="BS268">
        <v>0</v>
      </c>
      <c r="BT268" t="s">
        <v>271</v>
      </c>
      <c r="BU268">
        <v>100</v>
      </c>
      <c r="BV268">
        <v>0</v>
      </c>
      <c r="BW268" t="s">
        <v>268</v>
      </c>
      <c r="BX268" t="s">
        <v>272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100</v>
      </c>
      <c r="CE268">
        <v>0</v>
      </c>
      <c r="CF268">
        <v>0</v>
      </c>
      <c r="CG268">
        <v>0</v>
      </c>
      <c r="CH268">
        <v>0</v>
      </c>
      <c r="CI268">
        <v>0</v>
      </c>
      <c r="CJ268" t="s">
        <v>273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100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100</v>
      </c>
      <c r="CW268" t="s">
        <v>274</v>
      </c>
      <c r="CX268" t="s">
        <v>268</v>
      </c>
      <c r="CY268">
        <v>0</v>
      </c>
    </row>
    <row r="269" spans="5:103" x14ac:dyDescent="0.2">
      <c r="E269">
        <v>0</v>
      </c>
      <c r="F269" t="s">
        <v>155</v>
      </c>
      <c r="G269">
        <v>0</v>
      </c>
      <c r="H269" t="s">
        <v>155</v>
      </c>
      <c r="AL269">
        <v>0</v>
      </c>
      <c r="AM269">
        <v>0.3</v>
      </c>
      <c r="AN269">
        <v>0.3</v>
      </c>
      <c r="AO269">
        <v>0.4</v>
      </c>
      <c r="AP269" t="s">
        <v>268</v>
      </c>
      <c r="AQ269">
        <v>0.3</v>
      </c>
      <c r="AR269">
        <v>0.3</v>
      </c>
      <c r="AS269">
        <v>0.2</v>
      </c>
      <c r="AT269">
        <v>0.2</v>
      </c>
      <c r="AU269" t="s">
        <v>268</v>
      </c>
      <c r="AV269" t="s">
        <v>34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100</v>
      </c>
      <c r="BC269">
        <v>0</v>
      </c>
      <c r="BD269">
        <v>0</v>
      </c>
      <c r="BE269">
        <v>0</v>
      </c>
      <c r="BF269">
        <v>0</v>
      </c>
      <c r="BG269">
        <v>0</v>
      </c>
      <c r="BH269" t="s">
        <v>270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100</v>
      </c>
      <c r="BO269">
        <v>0</v>
      </c>
      <c r="BP269">
        <v>0</v>
      </c>
      <c r="BQ269">
        <v>0</v>
      </c>
      <c r="BR269">
        <v>0</v>
      </c>
      <c r="BS269">
        <v>0</v>
      </c>
      <c r="BT269" t="s">
        <v>271</v>
      </c>
      <c r="BU269">
        <v>100</v>
      </c>
      <c r="BV269">
        <v>0</v>
      </c>
      <c r="BW269" t="s">
        <v>268</v>
      </c>
      <c r="BX269" t="s">
        <v>272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100</v>
      </c>
      <c r="CE269">
        <v>0</v>
      </c>
      <c r="CF269">
        <v>0</v>
      </c>
      <c r="CG269">
        <v>0</v>
      </c>
      <c r="CH269">
        <v>0</v>
      </c>
      <c r="CI269">
        <v>0</v>
      </c>
      <c r="CJ269" t="s">
        <v>273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100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100</v>
      </c>
      <c r="CW269" t="s">
        <v>274</v>
      </c>
      <c r="CX269" t="s">
        <v>268</v>
      </c>
      <c r="CY269">
        <v>0</v>
      </c>
    </row>
    <row r="270" spans="5:103" x14ac:dyDescent="0.2">
      <c r="E270">
        <v>0</v>
      </c>
      <c r="F270" t="s">
        <v>155</v>
      </c>
      <c r="G270">
        <v>0</v>
      </c>
      <c r="H270" t="s">
        <v>155</v>
      </c>
      <c r="AL270">
        <v>0</v>
      </c>
      <c r="AM270">
        <v>0.3</v>
      </c>
      <c r="AN270">
        <v>0.3</v>
      </c>
      <c r="AO270">
        <v>0.4</v>
      </c>
      <c r="AP270" t="s">
        <v>268</v>
      </c>
      <c r="AQ270">
        <v>0.3</v>
      </c>
      <c r="AR270">
        <v>0.3</v>
      </c>
      <c r="AS270">
        <v>0.2</v>
      </c>
      <c r="AT270">
        <v>0.2</v>
      </c>
      <c r="AU270" t="s">
        <v>268</v>
      </c>
      <c r="AV270" t="s">
        <v>34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100</v>
      </c>
      <c r="BC270">
        <v>0</v>
      </c>
      <c r="BD270">
        <v>0</v>
      </c>
      <c r="BE270">
        <v>0</v>
      </c>
      <c r="BF270">
        <v>0</v>
      </c>
      <c r="BG270">
        <v>0</v>
      </c>
      <c r="BH270" t="s">
        <v>270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100</v>
      </c>
      <c r="BO270">
        <v>0</v>
      </c>
      <c r="BP270">
        <v>0</v>
      </c>
      <c r="BQ270">
        <v>0</v>
      </c>
      <c r="BR270">
        <v>0</v>
      </c>
      <c r="BS270">
        <v>0</v>
      </c>
      <c r="BT270" t="s">
        <v>271</v>
      </c>
      <c r="BU270">
        <v>100</v>
      </c>
      <c r="BV270">
        <v>0</v>
      </c>
      <c r="BW270" t="s">
        <v>268</v>
      </c>
      <c r="BX270" t="s">
        <v>272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100</v>
      </c>
      <c r="CE270">
        <v>0</v>
      </c>
      <c r="CF270">
        <v>0</v>
      </c>
      <c r="CG270">
        <v>0</v>
      </c>
      <c r="CH270">
        <v>0</v>
      </c>
      <c r="CI270">
        <v>0</v>
      </c>
      <c r="CJ270" t="s">
        <v>273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100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100</v>
      </c>
      <c r="CW270" t="s">
        <v>274</v>
      </c>
      <c r="CX270" t="s">
        <v>268</v>
      </c>
      <c r="CY270">
        <v>0</v>
      </c>
    </row>
    <row r="271" spans="5:103" x14ac:dyDescent="0.2">
      <c r="E271">
        <v>0</v>
      </c>
      <c r="F271" t="s">
        <v>155</v>
      </c>
      <c r="G271">
        <v>0</v>
      </c>
      <c r="H271" t="s">
        <v>155</v>
      </c>
      <c r="AL271">
        <v>0</v>
      </c>
      <c r="AM271">
        <v>0.3</v>
      </c>
      <c r="AN271">
        <v>0.3</v>
      </c>
      <c r="AO271">
        <v>0.4</v>
      </c>
      <c r="AP271" t="s">
        <v>268</v>
      </c>
      <c r="AQ271">
        <v>0.3</v>
      </c>
      <c r="AR271">
        <v>0.3</v>
      </c>
      <c r="AS271">
        <v>0.2</v>
      </c>
      <c r="AT271">
        <v>0.2</v>
      </c>
      <c r="AU271" t="s">
        <v>268</v>
      </c>
      <c r="AV271" t="s">
        <v>34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100</v>
      </c>
      <c r="BC271">
        <v>0</v>
      </c>
      <c r="BD271">
        <v>0</v>
      </c>
      <c r="BE271">
        <v>0</v>
      </c>
      <c r="BF271">
        <v>0</v>
      </c>
      <c r="BG271">
        <v>0</v>
      </c>
      <c r="BH271" t="s">
        <v>270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100</v>
      </c>
      <c r="BO271">
        <v>0</v>
      </c>
      <c r="BP271">
        <v>0</v>
      </c>
      <c r="BQ271">
        <v>0</v>
      </c>
      <c r="BR271">
        <v>0</v>
      </c>
      <c r="BS271">
        <v>0</v>
      </c>
      <c r="BT271" t="s">
        <v>271</v>
      </c>
      <c r="BU271">
        <v>100</v>
      </c>
      <c r="BV271">
        <v>0</v>
      </c>
      <c r="BW271" t="s">
        <v>268</v>
      </c>
      <c r="BX271" t="s">
        <v>272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100</v>
      </c>
      <c r="CE271">
        <v>0</v>
      </c>
      <c r="CF271">
        <v>0</v>
      </c>
      <c r="CG271">
        <v>0</v>
      </c>
      <c r="CH271">
        <v>0</v>
      </c>
      <c r="CI271">
        <v>0</v>
      </c>
      <c r="CJ271" t="s">
        <v>273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100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100</v>
      </c>
      <c r="CW271" t="s">
        <v>274</v>
      </c>
      <c r="CX271" t="s">
        <v>268</v>
      </c>
      <c r="CY271">
        <v>0</v>
      </c>
    </row>
    <row r="272" spans="5:103" x14ac:dyDescent="0.2">
      <c r="E272">
        <v>0</v>
      </c>
      <c r="F272" t="s">
        <v>155</v>
      </c>
      <c r="G272">
        <v>0</v>
      </c>
      <c r="H272" t="s">
        <v>155</v>
      </c>
      <c r="AL272">
        <v>0</v>
      </c>
      <c r="AM272">
        <v>0.3</v>
      </c>
      <c r="AN272">
        <v>0.3</v>
      </c>
      <c r="AO272">
        <v>0.4</v>
      </c>
      <c r="AP272" t="s">
        <v>268</v>
      </c>
      <c r="AQ272">
        <v>0.3</v>
      </c>
      <c r="AR272">
        <v>0.3</v>
      </c>
      <c r="AS272">
        <v>0.2</v>
      </c>
      <c r="AT272">
        <v>0.2</v>
      </c>
      <c r="AU272" t="s">
        <v>268</v>
      </c>
      <c r="AV272" t="s">
        <v>34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100</v>
      </c>
      <c r="BC272">
        <v>0</v>
      </c>
      <c r="BD272">
        <v>0</v>
      </c>
      <c r="BE272">
        <v>0</v>
      </c>
      <c r="BF272">
        <v>0</v>
      </c>
      <c r="BG272">
        <v>0</v>
      </c>
      <c r="BH272" t="s">
        <v>270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100</v>
      </c>
      <c r="BO272">
        <v>0</v>
      </c>
      <c r="BP272">
        <v>0</v>
      </c>
      <c r="BQ272">
        <v>0</v>
      </c>
      <c r="BR272">
        <v>0</v>
      </c>
      <c r="BS272">
        <v>0</v>
      </c>
      <c r="BT272" t="s">
        <v>271</v>
      </c>
      <c r="BU272">
        <v>100</v>
      </c>
      <c r="BV272">
        <v>0</v>
      </c>
      <c r="BW272" t="s">
        <v>268</v>
      </c>
      <c r="BX272" t="s">
        <v>272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100</v>
      </c>
      <c r="CE272">
        <v>0</v>
      </c>
      <c r="CF272">
        <v>0</v>
      </c>
      <c r="CG272">
        <v>0</v>
      </c>
      <c r="CH272">
        <v>0</v>
      </c>
      <c r="CI272">
        <v>0</v>
      </c>
      <c r="CJ272" t="s">
        <v>273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100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100</v>
      </c>
      <c r="CW272" t="s">
        <v>274</v>
      </c>
      <c r="CX272" t="s">
        <v>268</v>
      </c>
      <c r="CY272">
        <v>0</v>
      </c>
    </row>
    <row r="273" spans="5:103" x14ac:dyDescent="0.2">
      <c r="E273">
        <v>0</v>
      </c>
      <c r="F273" t="s">
        <v>155</v>
      </c>
      <c r="G273">
        <v>0</v>
      </c>
      <c r="H273" t="s">
        <v>155</v>
      </c>
      <c r="AL273">
        <v>0</v>
      </c>
      <c r="AM273">
        <v>0.3</v>
      </c>
      <c r="AN273">
        <v>0.3</v>
      </c>
      <c r="AO273">
        <v>0.4</v>
      </c>
      <c r="AP273" t="s">
        <v>268</v>
      </c>
      <c r="AQ273">
        <v>0.3</v>
      </c>
      <c r="AR273">
        <v>0.3</v>
      </c>
      <c r="AS273">
        <v>0.2</v>
      </c>
      <c r="AT273">
        <v>0.2</v>
      </c>
      <c r="AU273" t="s">
        <v>268</v>
      </c>
      <c r="AV273" t="s">
        <v>34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100</v>
      </c>
      <c r="BC273">
        <v>0</v>
      </c>
      <c r="BD273">
        <v>0</v>
      </c>
      <c r="BE273">
        <v>0</v>
      </c>
      <c r="BF273">
        <v>0</v>
      </c>
      <c r="BG273">
        <v>0</v>
      </c>
      <c r="BH273" t="s">
        <v>270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100</v>
      </c>
      <c r="BO273">
        <v>0</v>
      </c>
      <c r="BP273">
        <v>0</v>
      </c>
      <c r="BQ273">
        <v>0</v>
      </c>
      <c r="BR273">
        <v>0</v>
      </c>
      <c r="BS273">
        <v>0</v>
      </c>
      <c r="BT273" t="s">
        <v>271</v>
      </c>
      <c r="BU273">
        <v>100</v>
      </c>
      <c r="BV273">
        <v>0</v>
      </c>
      <c r="BW273" t="s">
        <v>268</v>
      </c>
      <c r="BX273" t="s">
        <v>272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100</v>
      </c>
      <c r="CE273">
        <v>0</v>
      </c>
      <c r="CF273">
        <v>0</v>
      </c>
      <c r="CG273">
        <v>0</v>
      </c>
      <c r="CH273">
        <v>0</v>
      </c>
      <c r="CI273">
        <v>0</v>
      </c>
      <c r="CJ273" t="s">
        <v>273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100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100</v>
      </c>
      <c r="CW273" t="s">
        <v>274</v>
      </c>
      <c r="CX273" t="s">
        <v>268</v>
      </c>
      <c r="CY273">
        <v>0</v>
      </c>
    </row>
    <row r="274" spans="5:103" x14ac:dyDescent="0.2">
      <c r="E274">
        <v>0</v>
      </c>
      <c r="F274" t="s">
        <v>155</v>
      </c>
      <c r="G274">
        <v>0</v>
      </c>
      <c r="H274" t="s">
        <v>155</v>
      </c>
      <c r="AL274">
        <v>0</v>
      </c>
      <c r="AM274">
        <v>0.3</v>
      </c>
      <c r="AN274">
        <v>0.3</v>
      </c>
      <c r="AO274">
        <v>0.4</v>
      </c>
      <c r="AP274" t="s">
        <v>268</v>
      </c>
      <c r="AQ274">
        <v>0.3</v>
      </c>
      <c r="AR274">
        <v>0.3</v>
      </c>
      <c r="AS274">
        <v>0.2</v>
      </c>
      <c r="AT274">
        <v>0.2</v>
      </c>
      <c r="AU274" t="s">
        <v>268</v>
      </c>
      <c r="AV274" t="s">
        <v>34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100</v>
      </c>
      <c r="BC274">
        <v>0</v>
      </c>
      <c r="BD274">
        <v>0</v>
      </c>
      <c r="BE274">
        <v>0</v>
      </c>
      <c r="BF274">
        <v>0</v>
      </c>
      <c r="BG274">
        <v>0</v>
      </c>
      <c r="BH274" t="s">
        <v>270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100</v>
      </c>
      <c r="BO274">
        <v>0</v>
      </c>
      <c r="BP274">
        <v>0</v>
      </c>
      <c r="BQ274">
        <v>0</v>
      </c>
      <c r="BR274">
        <v>0</v>
      </c>
      <c r="BS274">
        <v>0</v>
      </c>
      <c r="BT274" t="s">
        <v>271</v>
      </c>
      <c r="BU274">
        <v>100</v>
      </c>
      <c r="BV274">
        <v>0</v>
      </c>
      <c r="BW274" t="s">
        <v>268</v>
      </c>
      <c r="BX274" t="s">
        <v>272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100</v>
      </c>
      <c r="CE274">
        <v>0</v>
      </c>
      <c r="CF274">
        <v>0</v>
      </c>
      <c r="CG274">
        <v>0</v>
      </c>
      <c r="CH274">
        <v>0</v>
      </c>
      <c r="CI274">
        <v>0</v>
      </c>
      <c r="CJ274" t="s">
        <v>273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100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100</v>
      </c>
      <c r="CW274" t="s">
        <v>274</v>
      </c>
      <c r="CX274" t="s">
        <v>268</v>
      </c>
      <c r="CY274">
        <v>0</v>
      </c>
    </row>
    <row r="275" spans="5:103" x14ac:dyDescent="0.2">
      <c r="E275">
        <v>0</v>
      </c>
      <c r="F275" t="s">
        <v>155</v>
      </c>
      <c r="G275">
        <v>0</v>
      </c>
      <c r="H275" t="s">
        <v>155</v>
      </c>
      <c r="AL275">
        <v>0</v>
      </c>
      <c r="AM275">
        <v>0.3</v>
      </c>
      <c r="AN275">
        <v>0.3</v>
      </c>
      <c r="AO275">
        <v>0.4</v>
      </c>
      <c r="AP275" t="s">
        <v>268</v>
      </c>
      <c r="AQ275">
        <v>0.3</v>
      </c>
      <c r="AR275">
        <v>0.3</v>
      </c>
      <c r="AS275">
        <v>0.2</v>
      </c>
      <c r="AT275">
        <v>0.2</v>
      </c>
      <c r="AU275" t="s">
        <v>268</v>
      </c>
      <c r="AV275" t="s">
        <v>34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100</v>
      </c>
      <c r="BC275">
        <v>0</v>
      </c>
      <c r="BD275">
        <v>0</v>
      </c>
      <c r="BE275">
        <v>0</v>
      </c>
      <c r="BF275">
        <v>0</v>
      </c>
      <c r="BG275">
        <v>0</v>
      </c>
      <c r="BH275" t="s">
        <v>270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100</v>
      </c>
      <c r="BO275">
        <v>0</v>
      </c>
      <c r="BP275">
        <v>0</v>
      </c>
      <c r="BQ275">
        <v>0</v>
      </c>
      <c r="BR275">
        <v>0</v>
      </c>
      <c r="BS275">
        <v>0</v>
      </c>
      <c r="BT275" t="s">
        <v>271</v>
      </c>
      <c r="BU275">
        <v>100</v>
      </c>
      <c r="BV275">
        <v>0</v>
      </c>
      <c r="BW275" t="s">
        <v>268</v>
      </c>
      <c r="BX275" t="s">
        <v>272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100</v>
      </c>
      <c r="CE275">
        <v>0</v>
      </c>
      <c r="CF275">
        <v>0</v>
      </c>
      <c r="CG275">
        <v>0</v>
      </c>
      <c r="CH275">
        <v>0</v>
      </c>
      <c r="CI275">
        <v>0</v>
      </c>
      <c r="CJ275" t="s">
        <v>273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100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100</v>
      </c>
      <c r="CW275" t="s">
        <v>274</v>
      </c>
      <c r="CX275" t="s">
        <v>268</v>
      </c>
      <c r="CY275">
        <v>0</v>
      </c>
    </row>
    <row r="276" spans="5:103" x14ac:dyDescent="0.2">
      <c r="E276">
        <v>0</v>
      </c>
      <c r="F276" t="s">
        <v>155</v>
      </c>
      <c r="G276">
        <v>0</v>
      </c>
      <c r="H276" t="s">
        <v>155</v>
      </c>
      <c r="AL276">
        <v>0</v>
      </c>
      <c r="AM276">
        <v>0.3</v>
      </c>
      <c r="AN276">
        <v>0.3</v>
      </c>
      <c r="AO276">
        <v>0.4</v>
      </c>
      <c r="AP276" t="s">
        <v>268</v>
      </c>
      <c r="AQ276">
        <v>0.3</v>
      </c>
      <c r="AR276">
        <v>0.3</v>
      </c>
      <c r="AS276">
        <v>0.2</v>
      </c>
      <c r="AT276">
        <v>0.2</v>
      </c>
      <c r="AU276" t="s">
        <v>268</v>
      </c>
      <c r="AV276" t="s">
        <v>34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100</v>
      </c>
      <c r="BC276">
        <v>0</v>
      </c>
      <c r="BD276">
        <v>0</v>
      </c>
      <c r="BE276">
        <v>0</v>
      </c>
      <c r="BF276">
        <v>0</v>
      </c>
      <c r="BG276">
        <v>0</v>
      </c>
      <c r="BH276" t="s">
        <v>270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100</v>
      </c>
      <c r="BO276">
        <v>0</v>
      </c>
      <c r="BP276">
        <v>0</v>
      </c>
      <c r="BQ276">
        <v>0</v>
      </c>
      <c r="BR276">
        <v>0</v>
      </c>
      <c r="BS276">
        <v>0</v>
      </c>
      <c r="BT276" t="s">
        <v>271</v>
      </c>
      <c r="BU276">
        <v>100</v>
      </c>
      <c r="BV276">
        <v>0</v>
      </c>
      <c r="BW276" t="s">
        <v>268</v>
      </c>
      <c r="BX276" t="s">
        <v>272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100</v>
      </c>
      <c r="CE276">
        <v>0</v>
      </c>
      <c r="CF276">
        <v>0</v>
      </c>
      <c r="CG276">
        <v>0</v>
      </c>
      <c r="CH276">
        <v>0</v>
      </c>
      <c r="CI276">
        <v>0</v>
      </c>
      <c r="CJ276" t="s">
        <v>273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100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100</v>
      </c>
      <c r="CW276" t="s">
        <v>274</v>
      </c>
      <c r="CX276" t="s">
        <v>268</v>
      </c>
      <c r="CY276">
        <v>0</v>
      </c>
    </row>
    <row r="277" spans="5:103" x14ac:dyDescent="0.2">
      <c r="E277">
        <v>0</v>
      </c>
      <c r="F277" t="s">
        <v>155</v>
      </c>
      <c r="G277">
        <v>0</v>
      </c>
      <c r="H277" t="s">
        <v>155</v>
      </c>
      <c r="AL277">
        <v>0</v>
      </c>
      <c r="AM277">
        <v>0.3</v>
      </c>
      <c r="AN277">
        <v>0.3</v>
      </c>
      <c r="AO277">
        <v>0.4</v>
      </c>
      <c r="AP277" t="s">
        <v>268</v>
      </c>
      <c r="AQ277">
        <v>0.3</v>
      </c>
      <c r="AR277">
        <v>0.3</v>
      </c>
      <c r="AS277">
        <v>0.2</v>
      </c>
      <c r="AT277">
        <v>0.2</v>
      </c>
      <c r="AU277" t="s">
        <v>268</v>
      </c>
      <c r="AV277" t="s">
        <v>34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100</v>
      </c>
      <c r="BC277">
        <v>0</v>
      </c>
      <c r="BD277">
        <v>0</v>
      </c>
      <c r="BE277">
        <v>0</v>
      </c>
      <c r="BF277">
        <v>0</v>
      </c>
      <c r="BG277">
        <v>0</v>
      </c>
      <c r="BH277" t="s">
        <v>270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100</v>
      </c>
      <c r="BO277">
        <v>0</v>
      </c>
      <c r="BP277">
        <v>0</v>
      </c>
      <c r="BQ277">
        <v>0</v>
      </c>
      <c r="BR277">
        <v>0</v>
      </c>
      <c r="BS277">
        <v>0</v>
      </c>
      <c r="BT277" t="s">
        <v>271</v>
      </c>
      <c r="BU277">
        <v>100</v>
      </c>
      <c r="BV277">
        <v>0</v>
      </c>
      <c r="BW277" t="s">
        <v>268</v>
      </c>
      <c r="BX277" t="s">
        <v>272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100</v>
      </c>
      <c r="CE277">
        <v>0</v>
      </c>
      <c r="CF277">
        <v>0</v>
      </c>
      <c r="CG277">
        <v>0</v>
      </c>
      <c r="CH277">
        <v>0</v>
      </c>
      <c r="CI277">
        <v>0</v>
      </c>
      <c r="CJ277" t="s">
        <v>273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100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100</v>
      </c>
      <c r="CW277" t="s">
        <v>274</v>
      </c>
      <c r="CX277" t="s">
        <v>268</v>
      </c>
      <c r="CY277">
        <v>0</v>
      </c>
    </row>
    <row r="278" spans="5:103" x14ac:dyDescent="0.2">
      <c r="E278">
        <v>0</v>
      </c>
      <c r="F278" t="s">
        <v>155</v>
      </c>
      <c r="G278">
        <v>0</v>
      </c>
      <c r="H278" t="s">
        <v>155</v>
      </c>
      <c r="AL278">
        <v>0</v>
      </c>
      <c r="AM278">
        <v>0.3</v>
      </c>
      <c r="AN278">
        <v>0.3</v>
      </c>
      <c r="AO278">
        <v>0.4</v>
      </c>
      <c r="AP278" t="s">
        <v>268</v>
      </c>
      <c r="AQ278">
        <v>0.3</v>
      </c>
      <c r="AR278">
        <v>0.3</v>
      </c>
      <c r="AS278">
        <v>0.2</v>
      </c>
      <c r="AT278">
        <v>0.2</v>
      </c>
      <c r="AU278" t="s">
        <v>268</v>
      </c>
      <c r="AV278" t="s">
        <v>34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100</v>
      </c>
      <c r="BC278">
        <v>0</v>
      </c>
      <c r="BD278">
        <v>0</v>
      </c>
      <c r="BE278">
        <v>0</v>
      </c>
      <c r="BF278">
        <v>0</v>
      </c>
      <c r="BG278">
        <v>0</v>
      </c>
      <c r="BH278" t="s">
        <v>270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100</v>
      </c>
      <c r="BO278">
        <v>0</v>
      </c>
      <c r="BP278">
        <v>0</v>
      </c>
      <c r="BQ278">
        <v>0</v>
      </c>
      <c r="BR278">
        <v>0</v>
      </c>
      <c r="BS278">
        <v>0</v>
      </c>
      <c r="BT278" t="s">
        <v>271</v>
      </c>
      <c r="BU278">
        <v>100</v>
      </c>
      <c r="BV278">
        <v>0</v>
      </c>
      <c r="BW278" t="s">
        <v>268</v>
      </c>
      <c r="BX278" t="s">
        <v>272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100</v>
      </c>
      <c r="CE278">
        <v>0</v>
      </c>
      <c r="CF278">
        <v>0</v>
      </c>
      <c r="CG278">
        <v>0</v>
      </c>
      <c r="CH278">
        <v>0</v>
      </c>
      <c r="CI278">
        <v>0</v>
      </c>
      <c r="CJ278" t="s">
        <v>273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100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100</v>
      </c>
      <c r="CW278" t="s">
        <v>274</v>
      </c>
      <c r="CX278" t="s">
        <v>268</v>
      </c>
      <c r="CY278">
        <v>0</v>
      </c>
    </row>
    <row r="279" spans="5:103" x14ac:dyDescent="0.2">
      <c r="E279">
        <v>0</v>
      </c>
      <c r="F279" t="s">
        <v>155</v>
      </c>
      <c r="G279">
        <v>0</v>
      </c>
      <c r="H279" t="s">
        <v>155</v>
      </c>
      <c r="AL279">
        <v>0</v>
      </c>
      <c r="AM279">
        <v>0.3</v>
      </c>
      <c r="AN279">
        <v>0.3</v>
      </c>
      <c r="AO279">
        <v>0.4</v>
      </c>
      <c r="AP279" t="s">
        <v>268</v>
      </c>
      <c r="AQ279">
        <v>0.3</v>
      </c>
      <c r="AR279">
        <v>0.3</v>
      </c>
      <c r="AS279">
        <v>0.2</v>
      </c>
      <c r="AT279">
        <v>0.2</v>
      </c>
      <c r="AU279" t="s">
        <v>268</v>
      </c>
      <c r="AV279" t="s">
        <v>34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100</v>
      </c>
      <c r="BC279">
        <v>0</v>
      </c>
      <c r="BD279">
        <v>0</v>
      </c>
      <c r="BE279">
        <v>0</v>
      </c>
      <c r="BF279">
        <v>0</v>
      </c>
      <c r="BG279">
        <v>0</v>
      </c>
      <c r="BH279" t="s">
        <v>270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100</v>
      </c>
      <c r="BO279">
        <v>0</v>
      </c>
      <c r="BP279">
        <v>0</v>
      </c>
      <c r="BQ279">
        <v>0</v>
      </c>
      <c r="BR279">
        <v>0</v>
      </c>
      <c r="BS279">
        <v>0</v>
      </c>
      <c r="BT279" t="s">
        <v>271</v>
      </c>
      <c r="BU279">
        <v>100</v>
      </c>
      <c r="BV279">
        <v>0</v>
      </c>
      <c r="BW279" t="s">
        <v>268</v>
      </c>
      <c r="BX279" t="s">
        <v>272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100</v>
      </c>
      <c r="CE279">
        <v>0</v>
      </c>
      <c r="CF279">
        <v>0</v>
      </c>
      <c r="CG279">
        <v>0</v>
      </c>
      <c r="CH279">
        <v>0</v>
      </c>
      <c r="CI279">
        <v>0</v>
      </c>
      <c r="CJ279" t="s">
        <v>273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100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100</v>
      </c>
      <c r="CW279" t="s">
        <v>274</v>
      </c>
      <c r="CX279" t="s">
        <v>268</v>
      </c>
      <c r="CY279">
        <v>0</v>
      </c>
    </row>
    <row r="280" spans="5:103" x14ac:dyDescent="0.2">
      <c r="E280">
        <v>0</v>
      </c>
      <c r="F280" t="s">
        <v>155</v>
      </c>
      <c r="G280">
        <v>0</v>
      </c>
      <c r="H280" t="s">
        <v>155</v>
      </c>
      <c r="AL280">
        <v>0</v>
      </c>
      <c r="AM280">
        <v>0.3</v>
      </c>
      <c r="AN280">
        <v>0.3</v>
      </c>
      <c r="AO280">
        <v>0.4</v>
      </c>
      <c r="AP280" t="s">
        <v>268</v>
      </c>
      <c r="AQ280">
        <v>0.3</v>
      </c>
      <c r="AR280">
        <v>0.3</v>
      </c>
      <c r="AS280">
        <v>0.2</v>
      </c>
      <c r="AT280">
        <v>0.2</v>
      </c>
      <c r="AU280" t="s">
        <v>268</v>
      </c>
      <c r="AV280" t="s">
        <v>34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100</v>
      </c>
      <c r="BC280">
        <v>0</v>
      </c>
      <c r="BD280">
        <v>0</v>
      </c>
      <c r="BE280">
        <v>0</v>
      </c>
      <c r="BF280">
        <v>0</v>
      </c>
      <c r="BG280">
        <v>0</v>
      </c>
      <c r="BH280" t="s">
        <v>270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100</v>
      </c>
      <c r="BO280">
        <v>0</v>
      </c>
      <c r="BP280">
        <v>0</v>
      </c>
      <c r="BQ280">
        <v>0</v>
      </c>
      <c r="BR280">
        <v>0</v>
      </c>
      <c r="BS280">
        <v>0</v>
      </c>
      <c r="BT280" t="s">
        <v>271</v>
      </c>
      <c r="BU280">
        <v>100</v>
      </c>
      <c r="BV280">
        <v>0</v>
      </c>
      <c r="BW280" t="s">
        <v>268</v>
      </c>
      <c r="BX280" t="s">
        <v>272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100</v>
      </c>
      <c r="CE280">
        <v>0</v>
      </c>
      <c r="CF280">
        <v>0</v>
      </c>
      <c r="CG280">
        <v>0</v>
      </c>
      <c r="CH280">
        <v>0</v>
      </c>
      <c r="CI280">
        <v>0</v>
      </c>
      <c r="CJ280" t="s">
        <v>273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100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100</v>
      </c>
      <c r="CW280" t="s">
        <v>274</v>
      </c>
      <c r="CX280" t="s">
        <v>268</v>
      </c>
      <c r="CY280">
        <v>0</v>
      </c>
    </row>
    <row r="281" spans="5:103" x14ac:dyDescent="0.2">
      <c r="E281">
        <v>0</v>
      </c>
      <c r="F281" t="s">
        <v>155</v>
      </c>
      <c r="G281">
        <v>0</v>
      </c>
      <c r="H281" t="s">
        <v>155</v>
      </c>
      <c r="AL281">
        <v>0</v>
      </c>
      <c r="AM281">
        <v>0.3</v>
      </c>
      <c r="AN281">
        <v>0.3</v>
      </c>
      <c r="AO281">
        <v>0.4</v>
      </c>
      <c r="AP281" t="s">
        <v>268</v>
      </c>
      <c r="AQ281">
        <v>0.3</v>
      </c>
      <c r="AR281">
        <v>0.3</v>
      </c>
      <c r="AS281">
        <v>0.2</v>
      </c>
      <c r="AT281">
        <v>0.2</v>
      </c>
      <c r="AU281" t="s">
        <v>268</v>
      </c>
      <c r="AV281" t="s">
        <v>34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100</v>
      </c>
      <c r="BC281">
        <v>0</v>
      </c>
      <c r="BD281">
        <v>0</v>
      </c>
      <c r="BE281">
        <v>0</v>
      </c>
      <c r="BF281">
        <v>0</v>
      </c>
      <c r="BG281">
        <v>0</v>
      </c>
      <c r="BH281" t="s">
        <v>270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100</v>
      </c>
      <c r="BO281">
        <v>0</v>
      </c>
      <c r="BP281">
        <v>0</v>
      </c>
      <c r="BQ281">
        <v>0</v>
      </c>
      <c r="BR281">
        <v>0</v>
      </c>
      <c r="BS281">
        <v>0</v>
      </c>
      <c r="BT281" t="s">
        <v>271</v>
      </c>
      <c r="BU281">
        <v>100</v>
      </c>
      <c r="BV281">
        <v>0</v>
      </c>
      <c r="BW281" t="s">
        <v>268</v>
      </c>
      <c r="BX281" t="s">
        <v>272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100</v>
      </c>
      <c r="CE281">
        <v>0</v>
      </c>
      <c r="CF281">
        <v>0</v>
      </c>
      <c r="CG281">
        <v>0</v>
      </c>
      <c r="CH281">
        <v>0</v>
      </c>
      <c r="CI281">
        <v>0</v>
      </c>
      <c r="CJ281" t="s">
        <v>273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100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100</v>
      </c>
      <c r="CW281" t="s">
        <v>274</v>
      </c>
      <c r="CX281" t="s">
        <v>268</v>
      </c>
      <c r="CY281">
        <v>0</v>
      </c>
    </row>
    <row r="282" spans="5:103" x14ac:dyDescent="0.2">
      <c r="E282">
        <v>0</v>
      </c>
      <c r="F282" t="s">
        <v>155</v>
      </c>
      <c r="G282">
        <v>0</v>
      </c>
      <c r="H282" t="s">
        <v>155</v>
      </c>
      <c r="AL282">
        <v>0</v>
      </c>
      <c r="AM282">
        <v>0.3</v>
      </c>
      <c r="AN282">
        <v>0.3</v>
      </c>
      <c r="AO282">
        <v>0.4</v>
      </c>
      <c r="AP282" t="s">
        <v>268</v>
      </c>
      <c r="AQ282">
        <v>0.3</v>
      </c>
      <c r="AR282">
        <v>0.3</v>
      </c>
      <c r="AS282">
        <v>0.2</v>
      </c>
      <c r="AT282">
        <v>0.2</v>
      </c>
      <c r="AU282" t="s">
        <v>268</v>
      </c>
      <c r="AV282" t="s">
        <v>34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100</v>
      </c>
      <c r="BC282">
        <v>0</v>
      </c>
      <c r="BD282">
        <v>0</v>
      </c>
      <c r="BE282">
        <v>0</v>
      </c>
      <c r="BF282">
        <v>0</v>
      </c>
      <c r="BG282">
        <v>0</v>
      </c>
      <c r="BH282" t="s">
        <v>270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100</v>
      </c>
      <c r="BO282">
        <v>0</v>
      </c>
      <c r="BP282">
        <v>0</v>
      </c>
      <c r="BQ282">
        <v>0</v>
      </c>
      <c r="BR282">
        <v>0</v>
      </c>
      <c r="BS282">
        <v>0</v>
      </c>
      <c r="BT282" t="s">
        <v>271</v>
      </c>
      <c r="BU282">
        <v>100</v>
      </c>
      <c r="BV282">
        <v>0</v>
      </c>
      <c r="BW282" t="s">
        <v>268</v>
      </c>
      <c r="BX282" t="s">
        <v>272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100</v>
      </c>
      <c r="CE282">
        <v>0</v>
      </c>
      <c r="CF282">
        <v>0</v>
      </c>
      <c r="CG282">
        <v>0</v>
      </c>
      <c r="CH282">
        <v>0</v>
      </c>
      <c r="CI282">
        <v>0</v>
      </c>
      <c r="CJ282" t="s">
        <v>273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100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100</v>
      </c>
      <c r="CW282" t="s">
        <v>274</v>
      </c>
      <c r="CX282" t="s">
        <v>268</v>
      </c>
      <c r="CY282">
        <v>0</v>
      </c>
    </row>
    <row r="283" spans="5:103" x14ac:dyDescent="0.2">
      <c r="E283">
        <v>0</v>
      </c>
      <c r="F283" t="s">
        <v>155</v>
      </c>
      <c r="G283">
        <v>0</v>
      </c>
      <c r="H283" t="s">
        <v>155</v>
      </c>
      <c r="AL283">
        <v>0</v>
      </c>
      <c r="AM283">
        <v>0.3</v>
      </c>
      <c r="AN283">
        <v>0.3</v>
      </c>
      <c r="AO283">
        <v>0.4</v>
      </c>
      <c r="AP283" t="s">
        <v>268</v>
      </c>
      <c r="AQ283">
        <v>0.3</v>
      </c>
      <c r="AR283">
        <v>0.3</v>
      </c>
      <c r="AS283">
        <v>0.2</v>
      </c>
      <c r="AT283">
        <v>0.2</v>
      </c>
      <c r="AU283" t="s">
        <v>268</v>
      </c>
      <c r="AV283" t="s">
        <v>34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100</v>
      </c>
      <c r="BC283">
        <v>0</v>
      </c>
      <c r="BD283">
        <v>0</v>
      </c>
      <c r="BE283">
        <v>0</v>
      </c>
      <c r="BF283">
        <v>0</v>
      </c>
      <c r="BG283">
        <v>0</v>
      </c>
      <c r="BH283" t="s">
        <v>270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100</v>
      </c>
      <c r="BO283">
        <v>0</v>
      </c>
      <c r="BP283">
        <v>0</v>
      </c>
      <c r="BQ283">
        <v>0</v>
      </c>
      <c r="BR283">
        <v>0</v>
      </c>
      <c r="BS283">
        <v>0</v>
      </c>
      <c r="BT283" t="s">
        <v>271</v>
      </c>
      <c r="BU283">
        <v>100</v>
      </c>
      <c r="BV283">
        <v>0</v>
      </c>
      <c r="BW283" t="s">
        <v>268</v>
      </c>
      <c r="BX283" t="s">
        <v>272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100</v>
      </c>
      <c r="CE283">
        <v>0</v>
      </c>
      <c r="CF283">
        <v>0</v>
      </c>
      <c r="CG283">
        <v>0</v>
      </c>
      <c r="CH283">
        <v>0</v>
      </c>
      <c r="CI283">
        <v>0</v>
      </c>
      <c r="CJ283" t="s">
        <v>273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100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100</v>
      </c>
      <c r="CW283" t="s">
        <v>274</v>
      </c>
      <c r="CX283" t="s">
        <v>268</v>
      </c>
      <c r="CY283">
        <v>0</v>
      </c>
    </row>
    <row r="284" spans="5:103" x14ac:dyDescent="0.2">
      <c r="E284">
        <v>0</v>
      </c>
      <c r="F284" t="s">
        <v>155</v>
      </c>
      <c r="G284">
        <v>0</v>
      </c>
      <c r="H284" t="s">
        <v>155</v>
      </c>
      <c r="AL284">
        <v>0</v>
      </c>
      <c r="AM284">
        <v>0.3</v>
      </c>
      <c r="AN284">
        <v>0.3</v>
      </c>
      <c r="AO284">
        <v>0.4</v>
      </c>
      <c r="AP284" t="s">
        <v>268</v>
      </c>
      <c r="AQ284">
        <v>0.3</v>
      </c>
      <c r="AR284">
        <v>0.3</v>
      </c>
      <c r="AS284">
        <v>0.2</v>
      </c>
      <c r="AT284">
        <v>0.2</v>
      </c>
      <c r="AU284" t="s">
        <v>268</v>
      </c>
      <c r="AV284" t="s">
        <v>34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100</v>
      </c>
      <c r="BC284">
        <v>0</v>
      </c>
      <c r="BD284">
        <v>0</v>
      </c>
      <c r="BE284">
        <v>0</v>
      </c>
      <c r="BF284">
        <v>0</v>
      </c>
      <c r="BG284">
        <v>0</v>
      </c>
      <c r="BH284" t="s">
        <v>270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100</v>
      </c>
      <c r="BO284">
        <v>0</v>
      </c>
      <c r="BP284">
        <v>0</v>
      </c>
      <c r="BQ284">
        <v>0</v>
      </c>
      <c r="BR284">
        <v>0</v>
      </c>
      <c r="BS284">
        <v>0</v>
      </c>
      <c r="BT284" t="s">
        <v>271</v>
      </c>
      <c r="BU284">
        <v>100</v>
      </c>
      <c r="BV284">
        <v>0</v>
      </c>
      <c r="BW284" t="s">
        <v>268</v>
      </c>
      <c r="BX284" t="s">
        <v>272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100</v>
      </c>
      <c r="CE284">
        <v>0</v>
      </c>
      <c r="CF284">
        <v>0</v>
      </c>
      <c r="CG284">
        <v>0</v>
      </c>
      <c r="CH284">
        <v>0</v>
      </c>
      <c r="CI284">
        <v>0</v>
      </c>
      <c r="CJ284" t="s">
        <v>273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100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100</v>
      </c>
      <c r="CW284" t="s">
        <v>274</v>
      </c>
      <c r="CX284" t="s">
        <v>268</v>
      </c>
      <c r="CY284">
        <v>0</v>
      </c>
    </row>
    <row r="285" spans="5:103" x14ac:dyDescent="0.2">
      <c r="E285">
        <v>0</v>
      </c>
      <c r="F285" t="s">
        <v>155</v>
      </c>
      <c r="G285">
        <v>0</v>
      </c>
      <c r="H285" t="s">
        <v>155</v>
      </c>
      <c r="AL285">
        <v>0</v>
      </c>
      <c r="AM285">
        <v>0.3</v>
      </c>
      <c r="AN285">
        <v>0.3</v>
      </c>
      <c r="AO285">
        <v>0.4</v>
      </c>
      <c r="AP285" t="s">
        <v>268</v>
      </c>
      <c r="AQ285">
        <v>0.3</v>
      </c>
      <c r="AR285">
        <v>0.3</v>
      </c>
      <c r="AS285">
        <v>0.2</v>
      </c>
      <c r="AT285">
        <v>0.2</v>
      </c>
      <c r="AU285" t="s">
        <v>268</v>
      </c>
      <c r="AV285" t="s">
        <v>34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100</v>
      </c>
      <c r="BC285">
        <v>0</v>
      </c>
      <c r="BD285">
        <v>0</v>
      </c>
      <c r="BE285">
        <v>0</v>
      </c>
      <c r="BF285">
        <v>0</v>
      </c>
      <c r="BG285">
        <v>0</v>
      </c>
      <c r="BH285" t="s">
        <v>270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100</v>
      </c>
      <c r="BO285">
        <v>0</v>
      </c>
      <c r="BP285">
        <v>0</v>
      </c>
      <c r="BQ285">
        <v>0</v>
      </c>
      <c r="BR285">
        <v>0</v>
      </c>
      <c r="BS285">
        <v>0</v>
      </c>
      <c r="BT285" t="s">
        <v>271</v>
      </c>
      <c r="BU285">
        <v>100</v>
      </c>
      <c r="BV285">
        <v>0</v>
      </c>
      <c r="BW285" t="s">
        <v>268</v>
      </c>
      <c r="BX285" t="s">
        <v>272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100</v>
      </c>
      <c r="CE285">
        <v>0</v>
      </c>
      <c r="CF285">
        <v>0</v>
      </c>
      <c r="CG285">
        <v>0</v>
      </c>
      <c r="CH285">
        <v>0</v>
      </c>
      <c r="CI285">
        <v>0</v>
      </c>
      <c r="CJ285" t="s">
        <v>273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100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100</v>
      </c>
      <c r="CW285" t="s">
        <v>274</v>
      </c>
      <c r="CX285" t="s">
        <v>268</v>
      </c>
      <c r="CY285">
        <v>0</v>
      </c>
    </row>
    <row r="286" spans="5:103" x14ac:dyDescent="0.2">
      <c r="E286">
        <v>0</v>
      </c>
      <c r="F286" t="s">
        <v>155</v>
      </c>
      <c r="G286">
        <v>0</v>
      </c>
      <c r="H286" t="s">
        <v>155</v>
      </c>
      <c r="AL286">
        <v>0</v>
      </c>
      <c r="AM286">
        <v>0.3</v>
      </c>
      <c r="AN286">
        <v>0.3</v>
      </c>
      <c r="AO286">
        <v>0.4</v>
      </c>
      <c r="AP286" t="s">
        <v>268</v>
      </c>
      <c r="AQ286">
        <v>0.3</v>
      </c>
      <c r="AR286">
        <v>0.3</v>
      </c>
      <c r="AS286">
        <v>0.2</v>
      </c>
      <c r="AT286">
        <v>0.2</v>
      </c>
      <c r="AU286" t="s">
        <v>268</v>
      </c>
      <c r="AV286" t="s">
        <v>34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100</v>
      </c>
      <c r="BC286">
        <v>0</v>
      </c>
      <c r="BD286">
        <v>0</v>
      </c>
      <c r="BE286">
        <v>0</v>
      </c>
      <c r="BF286">
        <v>0</v>
      </c>
      <c r="BG286">
        <v>0</v>
      </c>
      <c r="BH286" t="s">
        <v>270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100</v>
      </c>
      <c r="BO286">
        <v>0</v>
      </c>
      <c r="BP286">
        <v>0</v>
      </c>
      <c r="BQ286">
        <v>0</v>
      </c>
      <c r="BR286">
        <v>0</v>
      </c>
      <c r="BS286">
        <v>0</v>
      </c>
      <c r="BT286" t="s">
        <v>271</v>
      </c>
      <c r="BU286">
        <v>100</v>
      </c>
      <c r="BV286">
        <v>0</v>
      </c>
      <c r="BW286" t="s">
        <v>268</v>
      </c>
      <c r="BX286" t="s">
        <v>272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100</v>
      </c>
      <c r="CE286">
        <v>0</v>
      </c>
      <c r="CF286">
        <v>0</v>
      </c>
      <c r="CG286">
        <v>0</v>
      </c>
      <c r="CH286">
        <v>0</v>
      </c>
      <c r="CI286">
        <v>0</v>
      </c>
      <c r="CJ286" t="s">
        <v>273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100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100</v>
      </c>
      <c r="CW286" t="s">
        <v>274</v>
      </c>
      <c r="CX286" t="s">
        <v>268</v>
      </c>
      <c r="CY286">
        <v>0</v>
      </c>
    </row>
    <row r="287" spans="5:103" x14ac:dyDescent="0.2">
      <c r="E287">
        <v>0</v>
      </c>
      <c r="F287" t="s">
        <v>155</v>
      </c>
      <c r="G287">
        <v>0</v>
      </c>
      <c r="H287" t="s">
        <v>155</v>
      </c>
      <c r="AL287">
        <v>0</v>
      </c>
      <c r="AM287">
        <v>0.3</v>
      </c>
      <c r="AN287">
        <v>0.3</v>
      </c>
      <c r="AO287">
        <v>0.4</v>
      </c>
      <c r="AP287" t="s">
        <v>268</v>
      </c>
      <c r="AQ287">
        <v>0.3</v>
      </c>
      <c r="AR287">
        <v>0.3</v>
      </c>
      <c r="AS287">
        <v>0.2</v>
      </c>
      <c r="AT287">
        <v>0.2</v>
      </c>
      <c r="AU287" t="s">
        <v>268</v>
      </c>
      <c r="AV287" t="s">
        <v>34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100</v>
      </c>
      <c r="BC287">
        <v>0</v>
      </c>
      <c r="BD287">
        <v>0</v>
      </c>
      <c r="BE287">
        <v>0</v>
      </c>
      <c r="BF287">
        <v>0</v>
      </c>
      <c r="BG287">
        <v>0</v>
      </c>
      <c r="BH287" t="s">
        <v>270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100</v>
      </c>
      <c r="BO287">
        <v>0</v>
      </c>
      <c r="BP287">
        <v>0</v>
      </c>
      <c r="BQ287">
        <v>0</v>
      </c>
      <c r="BR287">
        <v>0</v>
      </c>
      <c r="BS287">
        <v>0</v>
      </c>
      <c r="BT287" t="s">
        <v>271</v>
      </c>
      <c r="BU287">
        <v>100</v>
      </c>
      <c r="BV287">
        <v>0</v>
      </c>
      <c r="BW287" t="s">
        <v>268</v>
      </c>
      <c r="BX287" t="s">
        <v>272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100</v>
      </c>
      <c r="CE287">
        <v>0</v>
      </c>
      <c r="CF287">
        <v>0</v>
      </c>
      <c r="CG287">
        <v>0</v>
      </c>
      <c r="CH287">
        <v>0</v>
      </c>
      <c r="CI287">
        <v>0</v>
      </c>
      <c r="CJ287" t="s">
        <v>273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100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100</v>
      </c>
      <c r="CW287" t="s">
        <v>274</v>
      </c>
      <c r="CX287" t="s">
        <v>268</v>
      </c>
      <c r="CY287">
        <v>0</v>
      </c>
    </row>
    <row r="288" spans="5:103" x14ac:dyDescent="0.2">
      <c r="E288">
        <v>0</v>
      </c>
      <c r="F288" t="s">
        <v>155</v>
      </c>
      <c r="G288">
        <v>0</v>
      </c>
      <c r="H288" t="s">
        <v>155</v>
      </c>
      <c r="AL288">
        <v>0</v>
      </c>
      <c r="AM288">
        <v>0.3</v>
      </c>
      <c r="AN288">
        <v>0.3</v>
      </c>
      <c r="AO288">
        <v>0.4</v>
      </c>
      <c r="AP288" t="s">
        <v>268</v>
      </c>
      <c r="AQ288">
        <v>0.3</v>
      </c>
      <c r="AR288">
        <v>0.3</v>
      </c>
      <c r="AS288">
        <v>0.2</v>
      </c>
      <c r="AT288">
        <v>0.2</v>
      </c>
      <c r="AU288" t="s">
        <v>268</v>
      </c>
      <c r="AV288" t="s">
        <v>34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100</v>
      </c>
      <c r="BC288">
        <v>0</v>
      </c>
      <c r="BD288">
        <v>0</v>
      </c>
      <c r="BE288">
        <v>0</v>
      </c>
      <c r="BF288">
        <v>0</v>
      </c>
      <c r="BG288">
        <v>0</v>
      </c>
      <c r="BH288" t="s">
        <v>270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100</v>
      </c>
      <c r="BO288">
        <v>0</v>
      </c>
      <c r="BP288">
        <v>0</v>
      </c>
      <c r="BQ288">
        <v>0</v>
      </c>
      <c r="BR288">
        <v>0</v>
      </c>
      <c r="BS288">
        <v>0</v>
      </c>
      <c r="BT288" t="s">
        <v>271</v>
      </c>
      <c r="BU288">
        <v>100</v>
      </c>
      <c r="BV288">
        <v>0</v>
      </c>
      <c r="BW288" t="s">
        <v>268</v>
      </c>
      <c r="BX288" t="s">
        <v>272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100</v>
      </c>
      <c r="CE288">
        <v>0</v>
      </c>
      <c r="CF288">
        <v>0</v>
      </c>
      <c r="CG288">
        <v>0</v>
      </c>
      <c r="CH288">
        <v>0</v>
      </c>
      <c r="CI288">
        <v>0</v>
      </c>
      <c r="CJ288" t="s">
        <v>273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100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100</v>
      </c>
      <c r="CW288" t="s">
        <v>274</v>
      </c>
      <c r="CX288" t="s">
        <v>268</v>
      </c>
      <c r="CY288">
        <v>0</v>
      </c>
    </row>
    <row r="289" spans="5:103" x14ac:dyDescent="0.2">
      <c r="E289">
        <v>0</v>
      </c>
      <c r="F289" t="s">
        <v>155</v>
      </c>
      <c r="G289">
        <v>0</v>
      </c>
      <c r="H289" t="s">
        <v>155</v>
      </c>
      <c r="AL289">
        <v>0</v>
      </c>
      <c r="AM289">
        <v>0.3</v>
      </c>
      <c r="AN289">
        <v>0.3</v>
      </c>
      <c r="AO289">
        <v>0.4</v>
      </c>
      <c r="AP289" t="s">
        <v>268</v>
      </c>
      <c r="AQ289">
        <v>0.3</v>
      </c>
      <c r="AR289">
        <v>0.3</v>
      </c>
      <c r="AS289">
        <v>0.2</v>
      </c>
      <c r="AT289">
        <v>0.2</v>
      </c>
      <c r="AU289" t="s">
        <v>268</v>
      </c>
      <c r="AV289" t="s">
        <v>34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100</v>
      </c>
      <c r="BC289">
        <v>0</v>
      </c>
      <c r="BD289">
        <v>0</v>
      </c>
      <c r="BE289">
        <v>0</v>
      </c>
      <c r="BF289">
        <v>0</v>
      </c>
      <c r="BG289">
        <v>0</v>
      </c>
      <c r="BH289" t="s">
        <v>270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100</v>
      </c>
      <c r="BO289">
        <v>0</v>
      </c>
      <c r="BP289">
        <v>0</v>
      </c>
      <c r="BQ289">
        <v>0</v>
      </c>
      <c r="BR289">
        <v>0</v>
      </c>
      <c r="BS289">
        <v>0</v>
      </c>
      <c r="BT289" t="s">
        <v>271</v>
      </c>
      <c r="BU289">
        <v>100</v>
      </c>
      <c r="BV289">
        <v>0</v>
      </c>
      <c r="BW289" t="s">
        <v>268</v>
      </c>
      <c r="BX289" t="s">
        <v>272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100</v>
      </c>
      <c r="CE289">
        <v>0</v>
      </c>
      <c r="CF289">
        <v>0</v>
      </c>
      <c r="CG289">
        <v>0</v>
      </c>
      <c r="CH289">
        <v>0</v>
      </c>
      <c r="CI289">
        <v>0</v>
      </c>
      <c r="CJ289" t="s">
        <v>273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100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100</v>
      </c>
      <c r="CW289" t="s">
        <v>274</v>
      </c>
      <c r="CX289" t="s">
        <v>268</v>
      </c>
      <c r="CY289">
        <v>0</v>
      </c>
    </row>
    <row r="290" spans="5:103" x14ac:dyDescent="0.2">
      <c r="E290">
        <v>0</v>
      </c>
      <c r="F290" t="s">
        <v>155</v>
      </c>
      <c r="G290">
        <v>0</v>
      </c>
      <c r="H290" t="s">
        <v>155</v>
      </c>
      <c r="AL290">
        <v>0</v>
      </c>
      <c r="AM290">
        <v>0.3</v>
      </c>
      <c r="AN290">
        <v>0.3</v>
      </c>
      <c r="AO290">
        <v>0.4</v>
      </c>
      <c r="AP290" t="s">
        <v>268</v>
      </c>
      <c r="AQ290">
        <v>0.3</v>
      </c>
      <c r="AR290">
        <v>0.3</v>
      </c>
      <c r="AS290">
        <v>0.2</v>
      </c>
      <c r="AT290">
        <v>0.2</v>
      </c>
      <c r="AU290" t="s">
        <v>268</v>
      </c>
      <c r="AV290" t="s">
        <v>34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100</v>
      </c>
      <c r="BC290">
        <v>0</v>
      </c>
      <c r="BD290">
        <v>0</v>
      </c>
      <c r="BE290">
        <v>0</v>
      </c>
      <c r="BF290">
        <v>0</v>
      </c>
      <c r="BG290">
        <v>0</v>
      </c>
      <c r="BH290" t="s">
        <v>270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100</v>
      </c>
      <c r="BO290">
        <v>0</v>
      </c>
      <c r="BP290">
        <v>0</v>
      </c>
      <c r="BQ290">
        <v>0</v>
      </c>
      <c r="BR290">
        <v>0</v>
      </c>
      <c r="BS290">
        <v>0</v>
      </c>
      <c r="BT290" t="s">
        <v>271</v>
      </c>
      <c r="BU290">
        <v>100</v>
      </c>
      <c r="BV290">
        <v>0</v>
      </c>
      <c r="BW290" t="s">
        <v>268</v>
      </c>
      <c r="BX290" t="s">
        <v>272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100</v>
      </c>
      <c r="CE290">
        <v>0</v>
      </c>
      <c r="CF290">
        <v>0</v>
      </c>
      <c r="CG290">
        <v>0</v>
      </c>
      <c r="CH290">
        <v>0</v>
      </c>
      <c r="CI290">
        <v>0</v>
      </c>
      <c r="CJ290" t="s">
        <v>273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100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100</v>
      </c>
      <c r="CW290" t="s">
        <v>274</v>
      </c>
      <c r="CX290" t="s">
        <v>268</v>
      </c>
      <c r="CY290">
        <v>0</v>
      </c>
    </row>
    <row r="291" spans="5:103" x14ac:dyDescent="0.2">
      <c r="E291">
        <v>0</v>
      </c>
      <c r="F291" t="s">
        <v>155</v>
      </c>
      <c r="G291">
        <v>0</v>
      </c>
      <c r="H291" t="s">
        <v>155</v>
      </c>
      <c r="AL291">
        <v>0</v>
      </c>
      <c r="AM291">
        <v>0.3</v>
      </c>
      <c r="AN291">
        <v>0.3</v>
      </c>
      <c r="AO291">
        <v>0.4</v>
      </c>
      <c r="AP291" t="s">
        <v>268</v>
      </c>
      <c r="AQ291">
        <v>0.3</v>
      </c>
      <c r="AR291">
        <v>0.3</v>
      </c>
      <c r="AS291">
        <v>0.2</v>
      </c>
      <c r="AT291">
        <v>0.2</v>
      </c>
      <c r="AU291" t="s">
        <v>268</v>
      </c>
      <c r="AV291" t="s">
        <v>34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100</v>
      </c>
      <c r="BC291">
        <v>0</v>
      </c>
      <c r="BD291">
        <v>0</v>
      </c>
      <c r="BE291">
        <v>0</v>
      </c>
      <c r="BF291">
        <v>0</v>
      </c>
      <c r="BG291">
        <v>0</v>
      </c>
      <c r="BH291" t="s">
        <v>270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100</v>
      </c>
      <c r="BO291">
        <v>0</v>
      </c>
      <c r="BP291">
        <v>0</v>
      </c>
      <c r="BQ291">
        <v>0</v>
      </c>
      <c r="BR291">
        <v>0</v>
      </c>
      <c r="BS291">
        <v>0</v>
      </c>
      <c r="BT291" t="s">
        <v>271</v>
      </c>
      <c r="BU291">
        <v>100</v>
      </c>
      <c r="BV291">
        <v>0</v>
      </c>
      <c r="BW291" t="s">
        <v>268</v>
      </c>
      <c r="BX291" t="s">
        <v>272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100</v>
      </c>
      <c r="CE291">
        <v>0</v>
      </c>
      <c r="CF291">
        <v>0</v>
      </c>
      <c r="CG291">
        <v>0</v>
      </c>
      <c r="CH291">
        <v>0</v>
      </c>
      <c r="CI291">
        <v>0</v>
      </c>
      <c r="CJ291" t="s">
        <v>273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100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100</v>
      </c>
      <c r="CW291" t="s">
        <v>274</v>
      </c>
      <c r="CX291" t="s">
        <v>268</v>
      </c>
      <c r="CY291">
        <v>0</v>
      </c>
    </row>
    <row r="292" spans="5:103" x14ac:dyDescent="0.2">
      <c r="E292">
        <v>0</v>
      </c>
      <c r="F292" t="s">
        <v>155</v>
      </c>
      <c r="G292">
        <v>0</v>
      </c>
      <c r="H292" t="s">
        <v>155</v>
      </c>
      <c r="AL292">
        <v>0</v>
      </c>
      <c r="AM292">
        <v>0.3</v>
      </c>
      <c r="AN292">
        <v>0.3</v>
      </c>
      <c r="AO292">
        <v>0.4</v>
      </c>
      <c r="AP292" t="s">
        <v>268</v>
      </c>
      <c r="AQ292">
        <v>0.3</v>
      </c>
      <c r="AR292">
        <v>0.3</v>
      </c>
      <c r="AS292">
        <v>0.2</v>
      </c>
      <c r="AT292">
        <v>0.2</v>
      </c>
      <c r="AU292" t="s">
        <v>268</v>
      </c>
      <c r="AV292" t="s">
        <v>34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100</v>
      </c>
      <c r="BC292">
        <v>0</v>
      </c>
      <c r="BD292">
        <v>0</v>
      </c>
      <c r="BE292">
        <v>0</v>
      </c>
      <c r="BF292">
        <v>0</v>
      </c>
      <c r="BG292">
        <v>0</v>
      </c>
      <c r="BH292" t="s">
        <v>270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100</v>
      </c>
      <c r="BO292">
        <v>0</v>
      </c>
      <c r="BP292">
        <v>0</v>
      </c>
      <c r="BQ292">
        <v>0</v>
      </c>
      <c r="BR292">
        <v>0</v>
      </c>
      <c r="BS292">
        <v>0</v>
      </c>
      <c r="BT292" t="s">
        <v>271</v>
      </c>
      <c r="BU292">
        <v>100</v>
      </c>
      <c r="BV292">
        <v>0</v>
      </c>
      <c r="BW292" t="s">
        <v>268</v>
      </c>
      <c r="BX292" t="s">
        <v>272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100</v>
      </c>
      <c r="CE292">
        <v>0</v>
      </c>
      <c r="CF292">
        <v>0</v>
      </c>
      <c r="CG292">
        <v>0</v>
      </c>
      <c r="CH292">
        <v>0</v>
      </c>
      <c r="CI292">
        <v>0</v>
      </c>
      <c r="CJ292" t="s">
        <v>273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100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100</v>
      </c>
      <c r="CW292" t="s">
        <v>274</v>
      </c>
      <c r="CX292" t="s">
        <v>268</v>
      </c>
      <c r="CY292">
        <v>0</v>
      </c>
    </row>
    <row r="293" spans="5:103" x14ac:dyDescent="0.2">
      <c r="E293">
        <v>0</v>
      </c>
      <c r="F293" t="s">
        <v>155</v>
      </c>
      <c r="G293">
        <v>0</v>
      </c>
      <c r="H293" t="s">
        <v>155</v>
      </c>
      <c r="AL293">
        <v>0</v>
      </c>
      <c r="AM293">
        <v>0.3</v>
      </c>
      <c r="AN293">
        <v>0.3</v>
      </c>
      <c r="AO293">
        <v>0.4</v>
      </c>
      <c r="AP293" t="s">
        <v>268</v>
      </c>
      <c r="AQ293">
        <v>0.3</v>
      </c>
      <c r="AR293">
        <v>0.3</v>
      </c>
      <c r="AS293">
        <v>0.2</v>
      </c>
      <c r="AT293">
        <v>0.2</v>
      </c>
      <c r="AU293" t="s">
        <v>268</v>
      </c>
      <c r="AV293" t="s">
        <v>34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100</v>
      </c>
      <c r="BC293">
        <v>0</v>
      </c>
      <c r="BD293">
        <v>0</v>
      </c>
      <c r="BE293">
        <v>0</v>
      </c>
      <c r="BF293">
        <v>0</v>
      </c>
      <c r="BG293">
        <v>0</v>
      </c>
      <c r="BH293" t="s">
        <v>270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100</v>
      </c>
      <c r="BO293">
        <v>0</v>
      </c>
      <c r="BP293">
        <v>0</v>
      </c>
      <c r="BQ293">
        <v>0</v>
      </c>
      <c r="BR293">
        <v>0</v>
      </c>
      <c r="BS293">
        <v>0</v>
      </c>
      <c r="BT293" t="s">
        <v>271</v>
      </c>
      <c r="BU293">
        <v>100</v>
      </c>
      <c r="BV293">
        <v>0</v>
      </c>
      <c r="BW293" t="s">
        <v>268</v>
      </c>
      <c r="BX293" t="s">
        <v>272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100</v>
      </c>
      <c r="CE293">
        <v>0</v>
      </c>
      <c r="CF293">
        <v>0</v>
      </c>
      <c r="CG293">
        <v>0</v>
      </c>
      <c r="CH293">
        <v>0</v>
      </c>
      <c r="CI293">
        <v>0</v>
      </c>
      <c r="CJ293" t="s">
        <v>273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100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100</v>
      </c>
      <c r="CW293" t="s">
        <v>274</v>
      </c>
      <c r="CX293" t="s">
        <v>268</v>
      </c>
      <c r="CY293">
        <v>0</v>
      </c>
    </row>
    <row r="294" spans="5:103" x14ac:dyDescent="0.2">
      <c r="E294">
        <v>0</v>
      </c>
      <c r="F294" t="s">
        <v>155</v>
      </c>
      <c r="G294">
        <v>0</v>
      </c>
      <c r="H294" t="s">
        <v>155</v>
      </c>
      <c r="AL294">
        <v>0</v>
      </c>
      <c r="AM294">
        <v>0.3</v>
      </c>
      <c r="AN294">
        <v>0.3</v>
      </c>
      <c r="AO294">
        <v>0.4</v>
      </c>
      <c r="AP294" t="s">
        <v>268</v>
      </c>
      <c r="AQ294">
        <v>0.3</v>
      </c>
      <c r="AR294">
        <v>0.3</v>
      </c>
      <c r="AS294">
        <v>0.2</v>
      </c>
      <c r="AT294">
        <v>0.2</v>
      </c>
      <c r="AU294" t="s">
        <v>268</v>
      </c>
      <c r="AV294" t="s">
        <v>34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100</v>
      </c>
      <c r="BC294">
        <v>0</v>
      </c>
      <c r="BD294">
        <v>0</v>
      </c>
      <c r="BE294">
        <v>0</v>
      </c>
      <c r="BF294">
        <v>0</v>
      </c>
      <c r="BG294">
        <v>0</v>
      </c>
      <c r="BH294" t="s">
        <v>270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100</v>
      </c>
      <c r="BO294">
        <v>0</v>
      </c>
      <c r="BP294">
        <v>0</v>
      </c>
      <c r="BQ294">
        <v>0</v>
      </c>
      <c r="BR294">
        <v>0</v>
      </c>
      <c r="BS294">
        <v>0</v>
      </c>
      <c r="BT294" t="s">
        <v>271</v>
      </c>
      <c r="BU294">
        <v>100</v>
      </c>
      <c r="BV294">
        <v>0</v>
      </c>
      <c r="BW294" t="s">
        <v>268</v>
      </c>
      <c r="BX294" t="s">
        <v>272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100</v>
      </c>
      <c r="CE294">
        <v>0</v>
      </c>
      <c r="CF294">
        <v>0</v>
      </c>
      <c r="CG294">
        <v>0</v>
      </c>
      <c r="CH294">
        <v>0</v>
      </c>
      <c r="CI294">
        <v>0</v>
      </c>
      <c r="CJ294" t="s">
        <v>273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100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100</v>
      </c>
      <c r="CW294" t="s">
        <v>274</v>
      </c>
      <c r="CX294" t="s">
        <v>268</v>
      </c>
      <c r="CY294">
        <v>0</v>
      </c>
    </row>
    <row r="295" spans="5:103" x14ac:dyDescent="0.2">
      <c r="E295">
        <v>0</v>
      </c>
      <c r="F295" t="s">
        <v>155</v>
      </c>
      <c r="G295">
        <v>0</v>
      </c>
      <c r="H295" t="s">
        <v>155</v>
      </c>
      <c r="AL295">
        <v>0</v>
      </c>
      <c r="AM295">
        <v>0.3</v>
      </c>
      <c r="AN295">
        <v>0.3</v>
      </c>
      <c r="AO295">
        <v>0.4</v>
      </c>
      <c r="AP295" t="s">
        <v>268</v>
      </c>
      <c r="AQ295">
        <v>0.3</v>
      </c>
      <c r="AR295">
        <v>0.3</v>
      </c>
      <c r="AS295">
        <v>0.2</v>
      </c>
      <c r="AT295">
        <v>0.2</v>
      </c>
      <c r="AU295" t="s">
        <v>268</v>
      </c>
      <c r="AV295" t="s">
        <v>34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100</v>
      </c>
      <c r="BC295">
        <v>0</v>
      </c>
      <c r="BD295">
        <v>0</v>
      </c>
      <c r="BE295">
        <v>0</v>
      </c>
      <c r="BF295">
        <v>0</v>
      </c>
      <c r="BG295">
        <v>0</v>
      </c>
      <c r="BH295" t="s">
        <v>270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100</v>
      </c>
      <c r="BO295">
        <v>0</v>
      </c>
      <c r="BP295">
        <v>0</v>
      </c>
      <c r="BQ295">
        <v>0</v>
      </c>
      <c r="BR295">
        <v>0</v>
      </c>
      <c r="BS295">
        <v>0</v>
      </c>
      <c r="BT295" t="s">
        <v>271</v>
      </c>
      <c r="BU295">
        <v>100</v>
      </c>
      <c r="BV295">
        <v>0</v>
      </c>
      <c r="BW295" t="s">
        <v>268</v>
      </c>
      <c r="BX295" t="s">
        <v>272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100</v>
      </c>
      <c r="CE295">
        <v>0</v>
      </c>
      <c r="CF295">
        <v>0</v>
      </c>
      <c r="CG295">
        <v>0</v>
      </c>
      <c r="CH295">
        <v>0</v>
      </c>
      <c r="CI295">
        <v>0</v>
      </c>
      <c r="CJ295" t="s">
        <v>273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100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100</v>
      </c>
      <c r="CW295" t="s">
        <v>274</v>
      </c>
      <c r="CX295" t="s">
        <v>268</v>
      </c>
      <c r="CY295">
        <v>0</v>
      </c>
    </row>
    <row r="296" spans="5:103" x14ac:dyDescent="0.2">
      <c r="E296">
        <v>0</v>
      </c>
      <c r="F296" t="s">
        <v>155</v>
      </c>
      <c r="G296">
        <v>0</v>
      </c>
      <c r="H296" t="s">
        <v>155</v>
      </c>
      <c r="AL296">
        <v>0</v>
      </c>
      <c r="AM296">
        <v>0.3</v>
      </c>
      <c r="AN296">
        <v>0.3</v>
      </c>
      <c r="AO296">
        <v>0.4</v>
      </c>
      <c r="AP296" t="s">
        <v>268</v>
      </c>
      <c r="AQ296">
        <v>0.3</v>
      </c>
      <c r="AR296">
        <v>0.3</v>
      </c>
      <c r="AS296">
        <v>0.2</v>
      </c>
      <c r="AT296">
        <v>0.2</v>
      </c>
      <c r="AU296" t="s">
        <v>268</v>
      </c>
      <c r="AV296" t="s">
        <v>34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100</v>
      </c>
      <c r="BC296">
        <v>0</v>
      </c>
      <c r="BD296">
        <v>0</v>
      </c>
      <c r="BE296">
        <v>0</v>
      </c>
      <c r="BF296">
        <v>0</v>
      </c>
      <c r="BG296">
        <v>0</v>
      </c>
      <c r="BH296" t="s">
        <v>270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100</v>
      </c>
      <c r="BO296">
        <v>0</v>
      </c>
      <c r="BP296">
        <v>0</v>
      </c>
      <c r="BQ296">
        <v>0</v>
      </c>
      <c r="BR296">
        <v>0</v>
      </c>
      <c r="BS296">
        <v>0</v>
      </c>
      <c r="BT296" t="s">
        <v>271</v>
      </c>
      <c r="BU296">
        <v>100</v>
      </c>
      <c r="BV296">
        <v>0</v>
      </c>
      <c r="BW296" t="s">
        <v>268</v>
      </c>
      <c r="BX296" t="s">
        <v>272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100</v>
      </c>
      <c r="CE296">
        <v>0</v>
      </c>
      <c r="CF296">
        <v>0</v>
      </c>
      <c r="CG296">
        <v>0</v>
      </c>
      <c r="CH296">
        <v>0</v>
      </c>
      <c r="CI296">
        <v>0</v>
      </c>
      <c r="CJ296" t="s">
        <v>273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100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100</v>
      </c>
      <c r="CW296" t="s">
        <v>274</v>
      </c>
      <c r="CX296" t="s">
        <v>268</v>
      </c>
      <c r="CY296">
        <v>0</v>
      </c>
    </row>
    <row r="297" spans="5:103" x14ac:dyDescent="0.2">
      <c r="E297">
        <v>0</v>
      </c>
      <c r="F297" t="s">
        <v>155</v>
      </c>
      <c r="G297">
        <v>0</v>
      </c>
      <c r="H297" t="s">
        <v>155</v>
      </c>
      <c r="AL297">
        <v>0</v>
      </c>
      <c r="AM297">
        <v>0.3</v>
      </c>
      <c r="AN297">
        <v>0.3</v>
      </c>
      <c r="AO297">
        <v>0.4</v>
      </c>
      <c r="AP297" t="s">
        <v>268</v>
      </c>
      <c r="AQ297">
        <v>0.3</v>
      </c>
      <c r="AR297">
        <v>0.3</v>
      </c>
      <c r="AS297">
        <v>0.2</v>
      </c>
      <c r="AT297">
        <v>0.2</v>
      </c>
      <c r="AU297" t="s">
        <v>268</v>
      </c>
      <c r="AV297" t="s">
        <v>34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100</v>
      </c>
      <c r="BC297">
        <v>0</v>
      </c>
      <c r="BD297">
        <v>0</v>
      </c>
      <c r="BE297">
        <v>0</v>
      </c>
      <c r="BF297">
        <v>0</v>
      </c>
      <c r="BG297">
        <v>0</v>
      </c>
      <c r="BH297" t="s">
        <v>270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100</v>
      </c>
      <c r="BO297">
        <v>0</v>
      </c>
      <c r="BP297">
        <v>0</v>
      </c>
      <c r="BQ297">
        <v>0</v>
      </c>
      <c r="BR297">
        <v>0</v>
      </c>
      <c r="BS297">
        <v>0</v>
      </c>
      <c r="BT297" t="s">
        <v>271</v>
      </c>
      <c r="BU297">
        <v>100</v>
      </c>
      <c r="BV297">
        <v>0</v>
      </c>
      <c r="BW297" t="s">
        <v>268</v>
      </c>
      <c r="BX297" t="s">
        <v>272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100</v>
      </c>
      <c r="CE297">
        <v>0</v>
      </c>
      <c r="CF297">
        <v>0</v>
      </c>
      <c r="CG297">
        <v>0</v>
      </c>
      <c r="CH297">
        <v>0</v>
      </c>
      <c r="CI297">
        <v>0</v>
      </c>
      <c r="CJ297" t="s">
        <v>273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100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100</v>
      </c>
      <c r="CW297" t="s">
        <v>274</v>
      </c>
      <c r="CX297" t="s">
        <v>268</v>
      </c>
      <c r="CY297">
        <v>0</v>
      </c>
    </row>
    <row r="298" spans="5:103" x14ac:dyDescent="0.2">
      <c r="E298">
        <v>0</v>
      </c>
      <c r="F298" t="s">
        <v>155</v>
      </c>
      <c r="G298">
        <v>0</v>
      </c>
      <c r="H298" t="s">
        <v>155</v>
      </c>
      <c r="AL298">
        <v>0</v>
      </c>
      <c r="AM298">
        <v>0.3</v>
      </c>
      <c r="AN298">
        <v>0.3</v>
      </c>
      <c r="AO298">
        <v>0.4</v>
      </c>
      <c r="AP298" t="s">
        <v>268</v>
      </c>
      <c r="AQ298">
        <v>0.3</v>
      </c>
      <c r="AR298">
        <v>0.3</v>
      </c>
      <c r="AS298">
        <v>0.2</v>
      </c>
      <c r="AT298">
        <v>0.2</v>
      </c>
      <c r="AU298" t="s">
        <v>268</v>
      </c>
      <c r="AV298" t="s">
        <v>34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100</v>
      </c>
      <c r="BC298">
        <v>0</v>
      </c>
      <c r="BD298">
        <v>0</v>
      </c>
      <c r="BE298">
        <v>0</v>
      </c>
      <c r="BF298">
        <v>0</v>
      </c>
      <c r="BG298">
        <v>0</v>
      </c>
      <c r="BH298" t="s">
        <v>270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100</v>
      </c>
      <c r="BO298">
        <v>0</v>
      </c>
      <c r="BP298">
        <v>0</v>
      </c>
      <c r="BQ298">
        <v>0</v>
      </c>
      <c r="BR298">
        <v>0</v>
      </c>
      <c r="BS298">
        <v>0</v>
      </c>
      <c r="BT298" t="s">
        <v>271</v>
      </c>
      <c r="BU298">
        <v>100</v>
      </c>
      <c r="BV298">
        <v>0</v>
      </c>
      <c r="BW298" t="s">
        <v>268</v>
      </c>
      <c r="BX298" t="s">
        <v>272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100</v>
      </c>
      <c r="CE298">
        <v>0</v>
      </c>
      <c r="CF298">
        <v>0</v>
      </c>
      <c r="CG298">
        <v>0</v>
      </c>
      <c r="CH298">
        <v>0</v>
      </c>
      <c r="CI298">
        <v>0</v>
      </c>
      <c r="CJ298" t="s">
        <v>273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100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100</v>
      </c>
      <c r="CW298" t="s">
        <v>274</v>
      </c>
      <c r="CX298" t="s">
        <v>268</v>
      </c>
      <c r="CY298">
        <v>0</v>
      </c>
    </row>
    <row r="299" spans="5:103" x14ac:dyDescent="0.2">
      <c r="E299">
        <v>0</v>
      </c>
      <c r="F299" t="s">
        <v>155</v>
      </c>
      <c r="G299">
        <v>0</v>
      </c>
      <c r="H299" t="s">
        <v>155</v>
      </c>
      <c r="AL299">
        <v>0</v>
      </c>
      <c r="AM299">
        <v>0.3</v>
      </c>
      <c r="AN299">
        <v>0.3</v>
      </c>
      <c r="AO299">
        <v>0.4</v>
      </c>
      <c r="AP299" t="s">
        <v>268</v>
      </c>
      <c r="AQ299">
        <v>0.3</v>
      </c>
      <c r="AR299">
        <v>0.3</v>
      </c>
      <c r="AS299">
        <v>0.2</v>
      </c>
      <c r="AT299">
        <v>0.2</v>
      </c>
      <c r="AU299" t="s">
        <v>268</v>
      </c>
      <c r="AV299" t="s">
        <v>34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100</v>
      </c>
      <c r="BC299">
        <v>0</v>
      </c>
      <c r="BD299">
        <v>0</v>
      </c>
      <c r="BE299">
        <v>0</v>
      </c>
      <c r="BF299">
        <v>0</v>
      </c>
      <c r="BG299">
        <v>0</v>
      </c>
      <c r="BH299" t="s">
        <v>270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100</v>
      </c>
      <c r="BO299">
        <v>0</v>
      </c>
      <c r="BP299">
        <v>0</v>
      </c>
      <c r="BQ299">
        <v>0</v>
      </c>
      <c r="BR299">
        <v>0</v>
      </c>
      <c r="BS299">
        <v>0</v>
      </c>
      <c r="BT299" t="s">
        <v>271</v>
      </c>
      <c r="BU299">
        <v>100</v>
      </c>
      <c r="BV299">
        <v>0</v>
      </c>
      <c r="BW299" t="s">
        <v>268</v>
      </c>
      <c r="BX299" t="s">
        <v>272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100</v>
      </c>
      <c r="CE299">
        <v>0</v>
      </c>
      <c r="CF299">
        <v>0</v>
      </c>
      <c r="CG299">
        <v>0</v>
      </c>
      <c r="CH299">
        <v>0</v>
      </c>
      <c r="CI299">
        <v>0</v>
      </c>
      <c r="CJ299" t="s">
        <v>273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100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100</v>
      </c>
      <c r="CW299" t="s">
        <v>274</v>
      </c>
      <c r="CX299" t="s">
        <v>268</v>
      </c>
      <c r="CY299">
        <v>0</v>
      </c>
    </row>
    <row r="300" spans="5:103" x14ac:dyDescent="0.2">
      <c r="E300">
        <v>0</v>
      </c>
      <c r="F300" t="s">
        <v>155</v>
      </c>
      <c r="G300">
        <v>0</v>
      </c>
      <c r="H300" t="s">
        <v>155</v>
      </c>
      <c r="AL300">
        <v>0</v>
      </c>
      <c r="AM300">
        <v>0.3</v>
      </c>
      <c r="AN300">
        <v>0.3</v>
      </c>
      <c r="AO300">
        <v>0.4</v>
      </c>
      <c r="AP300" t="s">
        <v>268</v>
      </c>
      <c r="AQ300">
        <v>0.3</v>
      </c>
      <c r="AR300">
        <v>0.3</v>
      </c>
      <c r="AS300">
        <v>0.2</v>
      </c>
      <c r="AT300">
        <v>0.2</v>
      </c>
      <c r="AU300" t="s">
        <v>268</v>
      </c>
      <c r="AV300" t="s">
        <v>34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100</v>
      </c>
      <c r="BC300">
        <v>0</v>
      </c>
      <c r="BD300">
        <v>0</v>
      </c>
      <c r="BE300">
        <v>0</v>
      </c>
      <c r="BF300">
        <v>0</v>
      </c>
      <c r="BG300">
        <v>0</v>
      </c>
      <c r="BH300" t="s">
        <v>270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100</v>
      </c>
      <c r="BO300">
        <v>0</v>
      </c>
      <c r="BP300">
        <v>0</v>
      </c>
      <c r="BQ300">
        <v>0</v>
      </c>
      <c r="BR300">
        <v>0</v>
      </c>
      <c r="BS300">
        <v>0</v>
      </c>
      <c r="BT300" t="s">
        <v>271</v>
      </c>
      <c r="BU300">
        <v>100</v>
      </c>
      <c r="BV300">
        <v>0</v>
      </c>
      <c r="BW300" t="s">
        <v>268</v>
      </c>
      <c r="BX300" t="s">
        <v>272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100</v>
      </c>
      <c r="CE300">
        <v>0</v>
      </c>
      <c r="CF300">
        <v>0</v>
      </c>
      <c r="CG300">
        <v>0</v>
      </c>
      <c r="CH300">
        <v>0</v>
      </c>
      <c r="CI300">
        <v>0</v>
      </c>
      <c r="CJ300" t="s">
        <v>273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100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100</v>
      </c>
      <c r="CW300" t="s">
        <v>274</v>
      </c>
      <c r="CX300" t="s">
        <v>268</v>
      </c>
      <c r="CY300">
        <v>0</v>
      </c>
    </row>
    <row r="301" spans="5:103" x14ac:dyDescent="0.2">
      <c r="E301">
        <v>0</v>
      </c>
      <c r="F301" t="s">
        <v>155</v>
      </c>
      <c r="G301">
        <v>0</v>
      </c>
      <c r="H301" t="s">
        <v>155</v>
      </c>
      <c r="AL301">
        <v>0</v>
      </c>
      <c r="AM301">
        <v>0.3</v>
      </c>
      <c r="AN301">
        <v>0.3</v>
      </c>
      <c r="AO301">
        <v>0.4</v>
      </c>
      <c r="AP301" t="s">
        <v>268</v>
      </c>
      <c r="AQ301">
        <v>0.3</v>
      </c>
      <c r="AR301">
        <v>0.3</v>
      </c>
      <c r="AS301">
        <v>0.2</v>
      </c>
      <c r="AT301">
        <v>0.2</v>
      </c>
      <c r="AU301" t="s">
        <v>268</v>
      </c>
      <c r="AV301" t="s">
        <v>34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100</v>
      </c>
      <c r="BC301">
        <v>0</v>
      </c>
      <c r="BD301">
        <v>0</v>
      </c>
      <c r="BE301">
        <v>0</v>
      </c>
      <c r="BF301">
        <v>0</v>
      </c>
      <c r="BG301">
        <v>0</v>
      </c>
      <c r="BH301" t="s">
        <v>270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100</v>
      </c>
      <c r="BO301">
        <v>0</v>
      </c>
      <c r="BP301">
        <v>0</v>
      </c>
      <c r="BQ301">
        <v>0</v>
      </c>
      <c r="BR301">
        <v>0</v>
      </c>
      <c r="BS301">
        <v>0</v>
      </c>
      <c r="BT301" t="s">
        <v>271</v>
      </c>
      <c r="BU301">
        <v>100</v>
      </c>
      <c r="BV301">
        <v>0</v>
      </c>
      <c r="BW301" t="s">
        <v>268</v>
      </c>
      <c r="BX301" t="s">
        <v>272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100</v>
      </c>
      <c r="CE301">
        <v>0</v>
      </c>
      <c r="CF301">
        <v>0</v>
      </c>
      <c r="CG301">
        <v>0</v>
      </c>
      <c r="CH301">
        <v>0</v>
      </c>
      <c r="CI301">
        <v>0</v>
      </c>
      <c r="CJ301" t="s">
        <v>273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100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100</v>
      </c>
      <c r="CW301" t="s">
        <v>274</v>
      </c>
      <c r="CX301" t="s">
        <v>268</v>
      </c>
      <c r="CY301">
        <v>0</v>
      </c>
    </row>
    <row r="302" spans="5:103" x14ac:dyDescent="0.2">
      <c r="E302">
        <v>0</v>
      </c>
      <c r="F302" t="s">
        <v>155</v>
      </c>
      <c r="G302">
        <v>0</v>
      </c>
      <c r="H302" t="s">
        <v>155</v>
      </c>
      <c r="AL302">
        <v>0</v>
      </c>
      <c r="AM302">
        <v>0.3</v>
      </c>
      <c r="AN302">
        <v>0.3</v>
      </c>
      <c r="AO302">
        <v>0.4</v>
      </c>
      <c r="AP302" t="s">
        <v>268</v>
      </c>
      <c r="AQ302">
        <v>0.3</v>
      </c>
      <c r="AR302">
        <v>0.3</v>
      </c>
      <c r="AS302">
        <v>0.2</v>
      </c>
      <c r="AT302">
        <v>0.2</v>
      </c>
      <c r="AU302" t="s">
        <v>268</v>
      </c>
      <c r="AV302" t="s">
        <v>34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100</v>
      </c>
      <c r="BC302">
        <v>0</v>
      </c>
      <c r="BD302">
        <v>0</v>
      </c>
      <c r="BE302">
        <v>0</v>
      </c>
      <c r="BF302">
        <v>0</v>
      </c>
      <c r="BG302">
        <v>0</v>
      </c>
      <c r="BH302" t="s">
        <v>270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100</v>
      </c>
      <c r="BO302">
        <v>0</v>
      </c>
      <c r="BP302">
        <v>0</v>
      </c>
      <c r="BQ302">
        <v>0</v>
      </c>
      <c r="BR302">
        <v>0</v>
      </c>
      <c r="BS302">
        <v>0</v>
      </c>
      <c r="BT302" t="s">
        <v>271</v>
      </c>
      <c r="BU302">
        <v>100</v>
      </c>
      <c r="BV302">
        <v>0</v>
      </c>
      <c r="BW302" t="s">
        <v>268</v>
      </c>
      <c r="BX302" t="s">
        <v>272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100</v>
      </c>
      <c r="CE302">
        <v>0</v>
      </c>
      <c r="CF302">
        <v>0</v>
      </c>
      <c r="CG302">
        <v>0</v>
      </c>
      <c r="CH302">
        <v>0</v>
      </c>
      <c r="CI302">
        <v>0</v>
      </c>
      <c r="CJ302" t="s">
        <v>273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100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100</v>
      </c>
      <c r="CW302" t="s">
        <v>274</v>
      </c>
      <c r="CX302" t="s">
        <v>268</v>
      </c>
      <c r="CY302">
        <v>0</v>
      </c>
    </row>
    <row r="303" spans="5:103" x14ac:dyDescent="0.2">
      <c r="E303">
        <v>0</v>
      </c>
      <c r="F303" t="s">
        <v>155</v>
      </c>
      <c r="G303">
        <v>0</v>
      </c>
      <c r="H303" t="s">
        <v>155</v>
      </c>
      <c r="AL303">
        <v>0</v>
      </c>
      <c r="AM303">
        <v>0.3</v>
      </c>
      <c r="AN303">
        <v>0.3</v>
      </c>
      <c r="AO303">
        <v>0.4</v>
      </c>
      <c r="AP303" t="s">
        <v>268</v>
      </c>
      <c r="AQ303">
        <v>0.3</v>
      </c>
      <c r="AR303">
        <v>0.3</v>
      </c>
      <c r="AS303">
        <v>0.2</v>
      </c>
      <c r="AT303">
        <v>0.2</v>
      </c>
      <c r="AU303" t="s">
        <v>268</v>
      </c>
      <c r="AV303" t="s">
        <v>34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100</v>
      </c>
      <c r="BC303">
        <v>0</v>
      </c>
      <c r="BD303">
        <v>0</v>
      </c>
      <c r="BE303">
        <v>0</v>
      </c>
      <c r="BF303">
        <v>0</v>
      </c>
      <c r="BG303">
        <v>0</v>
      </c>
      <c r="BH303" t="s">
        <v>270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100</v>
      </c>
      <c r="BO303">
        <v>0</v>
      </c>
      <c r="BP303">
        <v>0</v>
      </c>
      <c r="BQ303">
        <v>0</v>
      </c>
      <c r="BR303">
        <v>0</v>
      </c>
      <c r="BS303">
        <v>0</v>
      </c>
      <c r="BT303" t="s">
        <v>271</v>
      </c>
      <c r="BU303">
        <v>100</v>
      </c>
      <c r="BV303">
        <v>0</v>
      </c>
      <c r="BW303" t="s">
        <v>268</v>
      </c>
      <c r="BX303" t="s">
        <v>272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100</v>
      </c>
      <c r="CE303">
        <v>0</v>
      </c>
      <c r="CF303">
        <v>0</v>
      </c>
      <c r="CG303">
        <v>0</v>
      </c>
      <c r="CH303">
        <v>0</v>
      </c>
      <c r="CI303">
        <v>0</v>
      </c>
      <c r="CJ303" t="s">
        <v>273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100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100</v>
      </c>
      <c r="CW303" t="s">
        <v>274</v>
      </c>
      <c r="CX303" t="s">
        <v>268</v>
      </c>
      <c r="CY303">
        <v>0</v>
      </c>
    </row>
    <row r="304" spans="5:103" x14ac:dyDescent="0.2">
      <c r="E304">
        <v>0</v>
      </c>
      <c r="F304" t="s">
        <v>155</v>
      </c>
      <c r="G304">
        <v>0</v>
      </c>
      <c r="H304" t="s">
        <v>155</v>
      </c>
      <c r="AL304">
        <v>0</v>
      </c>
      <c r="AM304">
        <v>0.3</v>
      </c>
      <c r="AN304">
        <v>0.3</v>
      </c>
      <c r="AO304">
        <v>0.4</v>
      </c>
      <c r="AP304" t="s">
        <v>268</v>
      </c>
      <c r="AQ304">
        <v>0.3</v>
      </c>
      <c r="AR304">
        <v>0.3</v>
      </c>
      <c r="AS304">
        <v>0.2</v>
      </c>
      <c r="AT304">
        <v>0.2</v>
      </c>
      <c r="AU304" t="s">
        <v>268</v>
      </c>
      <c r="AV304" t="s">
        <v>34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100</v>
      </c>
      <c r="BC304">
        <v>0</v>
      </c>
      <c r="BD304">
        <v>0</v>
      </c>
      <c r="BE304">
        <v>0</v>
      </c>
      <c r="BF304">
        <v>0</v>
      </c>
      <c r="BG304">
        <v>0</v>
      </c>
      <c r="BH304" t="s">
        <v>270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100</v>
      </c>
      <c r="BO304">
        <v>0</v>
      </c>
      <c r="BP304">
        <v>0</v>
      </c>
      <c r="BQ304">
        <v>0</v>
      </c>
      <c r="BR304">
        <v>0</v>
      </c>
      <c r="BS304">
        <v>0</v>
      </c>
      <c r="BT304" t="s">
        <v>271</v>
      </c>
      <c r="BU304">
        <v>100</v>
      </c>
      <c r="BV304">
        <v>0</v>
      </c>
      <c r="BW304" t="s">
        <v>268</v>
      </c>
      <c r="BX304" t="s">
        <v>272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100</v>
      </c>
      <c r="CE304">
        <v>0</v>
      </c>
      <c r="CF304">
        <v>0</v>
      </c>
      <c r="CG304">
        <v>0</v>
      </c>
      <c r="CH304">
        <v>0</v>
      </c>
      <c r="CI304">
        <v>0</v>
      </c>
      <c r="CJ304" t="s">
        <v>273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100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100</v>
      </c>
      <c r="CW304" t="s">
        <v>274</v>
      </c>
      <c r="CX304" t="s">
        <v>268</v>
      </c>
      <c r="CY304">
        <v>0</v>
      </c>
    </row>
    <row r="305" spans="5:103" x14ac:dyDescent="0.2">
      <c r="E305">
        <v>0</v>
      </c>
      <c r="F305" t="s">
        <v>155</v>
      </c>
      <c r="G305">
        <v>0</v>
      </c>
      <c r="H305" t="s">
        <v>155</v>
      </c>
      <c r="AL305">
        <v>0</v>
      </c>
      <c r="AM305">
        <v>0.3</v>
      </c>
      <c r="AN305">
        <v>0.3</v>
      </c>
      <c r="AO305">
        <v>0.4</v>
      </c>
      <c r="AP305" t="s">
        <v>268</v>
      </c>
      <c r="AQ305">
        <v>0.3</v>
      </c>
      <c r="AR305">
        <v>0.3</v>
      </c>
      <c r="AS305">
        <v>0.2</v>
      </c>
      <c r="AT305">
        <v>0.2</v>
      </c>
      <c r="AU305" t="s">
        <v>268</v>
      </c>
      <c r="AV305" t="s">
        <v>34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100</v>
      </c>
      <c r="BC305">
        <v>0</v>
      </c>
      <c r="BD305">
        <v>0</v>
      </c>
      <c r="BE305">
        <v>0</v>
      </c>
      <c r="BF305">
        <v>0</v>
      </c>
      <c r="BG305">
        <v>0</v>
      </c>
      <c r="BH305" t="s">
        <v>270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100</v>
      </c>
      <c r="BO305">
        <v>0</v>
      </c>
      <c r="BP305">
        <v>0</v>
      </c>
      <c r="BQ305">
        <v>0</v>
      </c>
      <c r="BR305">
        <v>0</v>
      </c>
      <c r="BS305">
        <v>0</v>
      </c>
      <c r="BT305" t="s">
        <v>271</v>
      </c>
      <c r="BU305">
        <v>100</v>
      </c>
      <c r="BV305">
        <v>0</v>
      </c>
      <c r="BW305" t="s">
        <v>268</v>
      </c>
      <c r="BX305" t="s">
        <v>272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100</v>
      </c>
      <c r="CE305">
        <v>0</v>
      </c>
      <c r="CF305">
        <v>0</v>
      </c>
      <c r="CG305">
        <v>0</v>
      </c>
      <c r="CH305">
        <v>0</v>
      </c>
      <c r="CI305">
        <v>0</v>
      </c>
      <c r="CJ305" t="s">
        <v>273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100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100</v>
      </c>
      <c r="CW305" t="s">
        <v>274</v>
      </c>
      <c r="CX305" t="s">
        <v>268</v>
      </c>
      <c r="CY305">
        <v>0</v>
      </c>
    </row>
    <row r="306" spans="5:103" x14ac:dyDescent="0.2">
      <c r="E306">
        <v>0</v>
      </c>
      <c r="F306" t="s">
        <v>155</v>
      </c>
      <c r="G306">
        <v>0</v>
      </c>
      <c r="H306" t="s">
        <v>155</v>
      </c>
      <c r="AL306">
        <v>0</v>
      </c>
      <c r="AM306">
        <v>0.3</v>
      </c>
      <c r="AN306">
        <v>0.3</v>
      </c>
      <c r="AO306">
        <v>0.4</v>
      </c>
      <c r="AP306" t="s">
        <v>268</v>
      </c>
      <c r="AQ306">
        <v>0.3</v>
      </c>
      <c r="AR306">
        <v>0.3</v>
      </c>
      <c r="AS306">
        <v>0.2</v>
      </c>
      <c r="AT306">
        <v>0.2</v>
      </c>
      <c r="AU306" t="s">
        <v>268</v>
      </c>
      <c r="AV306" t="s">
        <v>34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100</v>
      </c>
      <c r="BC306">
        <v>0</v>
      </c>
      <c r="BD306">
        <v>0</v>
      </c>
      <c r="BE306">
        <v>0</v>
      </c>
      <c r="BF306">
        <v>0</v>
      </c>
      <c r="BG306">
        <v>0</v>
      </c>
      <c r="BH306" t="s">
        <v>270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100</v>
      </c>
      <c r="BO306">
        <v>0</v>
      </c>
      <c r="BP306">
        <v>0</v>
      </c>
      <c r="BQ306">
        <v>0</v>
      </c>
      <c r="BR306">
        <v>0</v>
      </c>
      <c r="BS306">
        <v>0</v>
      </c>
      <c r="BT306" t="s">
        <v>271</v>
      </c>
      <c r="BU306">
        <v>100</v>
      </c>
      <c r="BV306">
        <v>0</v>
      </c>
      <c r="BW306" t="s">
        <v>268</v>
      </c>
      <c r="BX306" t="s">
        <v>272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100</v>
      </c>
      <c r="CE306">
        <v>0</v>
      </c>
      <c r="CF306">
        <v>0</v>
      </c>
      <c r="CG306">
        <v>0</v>
      </c>
      <c r="CH306">
        <v>0</v>
      </c>
      <c r="CI306">
        <v>0</v>
      </c>
      <c r="CJ306" t="s">
        <v>273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100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100</v>
      </c>
      <c r="CW306" t="s">
        <v>274</v>
      </c>
      <c r="CX306" t="s">
        <v>268</v>
      </c>
      <c r="CY306">
        <v>0</v>
      </c>
    </row>
    <row r="307" spans="5:103" x14ac:dyDescent="0.2">
      <c r="E307">
        <v>0</v>
      </c>
      <c r="F307" t="s">
        <v>155</v>
      </c>
      <c r="G307">
        <v>0</v>
      </c>
      <c r="H307" t="s">
        <v>155</v>
      </c>
      <c r="AL307">
        <v>0</v>
      </c>
      <c r="AM307">
        <v>0.3</v>
      </c>
      <c r="AN307">
        <v>0.3</v>
      </c>
      <c r="AO307">
        <v>0.4</v>
      </c>
      <c r="AP307" t="s">
        <v>268</v>
      </c>
      <c r="AQ307">
        <v>0.3</v>
      </c>
      <c r="AR307">
        <v>0.3</v>
      </c>
      <c r="AS307">
        <v>0.2</v>
      </c>
      <c r="AT307">
        <v>0.2</v>
      </c>
      <c r="AU307" t="s">
        <v>268</v>
      </c>
      <c r="AV307" t="s">
        <v>34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100</v>
      </c>
      <c r="BC307">
        <v>0</v>
      </c>
      <c r="BD307">
        <v>0</v>
      </c>
      <c r="BE307">
        <v>0</v>
      </c>
      <c r="BF307">
        <v>0</v>
      </c>
      <c r="BG307">
        <v>0</v>
      </c>
      <c r="BH307" t="s">
        <v>270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100</v>
      </c>
      <c r="BO307">
        <v>0</v>
      </c>
      <c r="BP307">
        <v>0</v>
      </c>
      <c r="BQ307">
        <v>0</v>
      </c>
      <c r="BR307">
        <v>0</v>
      </c>
      <c r="BS307">
        <v>0</v>
      </c>
      <c r="BT307" t="s">
        <v>271</v>
      </c>
      <c r="BU307">
        <v>100</v>
      </c>
      <c r="BV307">
        <v>0</v>
      </c>
      <c r="BW307" t="s">
        <v>268</v>
      </c>
      <c r="BX307" t="s">
        <v>272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100</v>
      </c>
      <c r="CE307">
        <v>0</v>
      </c>
      <c r="CF307">
        <v>0</v>
      </c>
      <c r="CG307">
        <v>0</v>
      </c>
      <c r="CH307">
        <v>0</v>
      </c>
      <c r="CI307">
        <v>0</v>
      </c>
      <c r="CJ307" t="s">
        <v>273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100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100</v>
      </c>
      <c r="CW307" t="s">
        <v>274</v>
      </c>
      <c r="CX307" t="s">
        <v>268</v>
      </c>
      <c r="CY307">
        <v>0</v>
      </c>
    </row>
    <row r="308" spans="5:103" x14ac:dyDescent="0.2">
      <c r="E308">
        <v>0</v>
      </c>
      <c r="F308" t="s">
        <v>155</v>
      </c>
      <c r="G308">
        <v>0</v>
      </c>
      <c r="H308" t="s">
        <v>155</v>
      </c>
      <c r="AL308">
        <v>0</v>
      </c>
      <c r="AM308">
        <v>0.3</v>
      </c>
      <c r="AN308">
        <v>0.3</v>
      </c>
      <c r="AO308">
        <v>0.4</v>
      </c>
      <c r="AP308" t="s">
        <v>268</v>
      </c>
      <c r="AQ308">
        <v>0.3</v>
      </c>
      <c r="AR308">
        <v>0.3</v>
      </c>
      <c r="AS308">
        <v>0.2</v>
      </c>
      <c r="AT308">
        <v>0.2</v>
      </c>
      <c r="AU308" t="s">
        <v>268</v>
      </c>
      <c r="AV308" t="s">
        <v>34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100</v>
      </c>
      <c r="BC308">
        <v>0</v>
      </c>
      <c r="BD308">
        <v>0</v>
      </c>
      <c r="BE308">
        <v>0</v>
      </c>
      <c r="BF308">
        <v>0</v>
      </c>
      <c r="BG308">
        <v>0</v>
      </c>
      <c r="BH308" t="s">
        <v>270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100</v>
      </c>
      <c r="BO308">
        <v>0</v>
      </c>
      <c r="BP308">
        <v>0</v>
      </c>
      <c r="BQ308">
        <v>0</v>
      </c>
      <c r="BR308">
        <v>0</v>
      </c>
      <c r="BS308">
        <v>0</v>
      </c>
      <c r="BT308" t="s">
        <v>271</v>
      </c>
      <c r="BU308">
        <v>100</v>
      </c>
      <c r="BV308">
        <v>0</v>
      </c>
      <c r="BW308" t="s">
        <v>268</v>
      </c>
      <c r="BX308" t="s">
        <v>272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100</v>
      </c>
      <c r="CE308">
        <v>0</v>
      </c>
      <c r="CF308">
        <v>0</v>
      </c>
      <c r="CG308">
        <v>0</v>
      </c>
      <c r="CH308">
        <v>0</v>
      </c>
      <c r="CI308">
        <v>0</v>
      </c>
      <c r="CJ308" t="s">
        <v>273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100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100</v>
      </c>
      <c r="CW308" t="s">
        <v>274</v>
      </c>
      <c r="CX308" t="s">
        <v>268</v>
      </c>
      <c r="CY308">
        <v>0</v>
      </c>
    </row>
    <row r="309" spans="5:103" x14ac:dyDescent="0.2">
      <c r="E309">
        <v>0</v>
      </c>
      <c r="F309" t="s">
        <v>155</v>
      </c>
      <c r="G309">
        <v>0</v>
      </c>
      <c r="H309" t="s">
        <v>155</v>
      </c>
      <c r="AL309">
        <v>0</v>
      </c>
      <c r="AM309">
        <v>0.3</v>
      </c>
      <c r="AN309">
        <v>0.3</v>
      </c>
      <c r="AO309">
        <v>0.4</v>
      </c>
      <c r="AP309" t="s">
        <v>268</v>
      </c>
      <c r="AQ309">
        <v>0.3</v>
      </c>
      <c r="AR309">
        <v>0.3</v>
      </c>
      <c r="AS309">
        <v>0.2</v>
      </c>
      <c r="AT309">
        <v>0.2</v>
      </c>
      <c r="AU309" t="s">
        <v>268</v>
      </c>
      <c r="AV309" t="s">
        <v>34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100</v>
      </c>
      <c r="BC309">
        <v>0</v>
      </c>
      <c r="BD309">
        <v>0</v>
      </c>
      <c r="BE309">
        <v>0</v>
      </c>
      <c r="BF309">
        <v>0</v>
      </c>
      <c r="BG309">
        <v>0</v>
      </c>
      <c r="BH309" t="s">
        <v>270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100</v>
      </c>
      <c r="BO309">
        <v>0</v>
      </c>
      <c r="BP309">
        <v>0</v>
      </c>
      <c r="BQ309">
        <v>0</v>
      </c>
      <c r="BR309">
        <v>0</v>
      </c>
      <c r="BS309">
        <v>0</v>
      </c>
      <c r="BT309" t="s">
        <v>271</v>
      </c>
      <c r="BU309">
        <v>100</v>
      </c>
      <c r="BV309">
        <v>0</v>
      </c>
      <c r="BW309" t="s">
        <v>268</v>
      </c>
      <c r="BX309" t="s">
        <v>272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100</v>
      </c>
      <c r="CE309">
        <v>0</v>
      </c>
      <c r="CF309">
        <v>0</v>
      </c>
      <c r="CG309">
        <v>0</v>
      </c>
      <c r="CH309">
        <v>0</v>
      </c>
      <c r="CI309">
        <v>0</v>
      </c>
      <c r="CJ309" t="s">
        <v>273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100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100</v>
      </c>
      <c r="CW309" t="s">
        <v>274</v>
      </c>
      <c r="CX309" t="s">
        <v>268</v>
      </c>
      <c r="CY309">
        <v>0</v>
      </c>
    </row>
    <row r="310" spans="5:103" x14ac:dyDescent="0.2">
      <c r="E310">
        <v>0</v>
      </c>
      <c r="F310" t="s">
        <v>155</v>
      </c>
      <c r="G310">
        <v>0</v>
      </c>
      <c r="H310" t="s">
        <v>155</v>
      </c>
      <c r="AL310">
        <v>0</v>
      </c>
      <c r="AM310">
        <v>0.3</v>
      </c>
      <c r="AN310">
        <v>0.3</v>
      </c>
      <c r="AO310">
        <v>0.4</v>
      </c>
      <c r="AP310" t="s">
        <v>268</v>
      </c>
      <c r="AQ310">
        <v>0.3</v>
      </c>
      <c r="AR310">
        <v>0.3</v>
      </c>
      <c r="AS310">
        <v>0.2</v>
      </c>
      <c r="AT310">
        <v>0.2</v>
      </c>
      <c r="AU310" t="s">
        <v>268</v>
      </c>
      <c r="AV310" t="s">
        <v>34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100</v>
      </c>
      <c r="BC310">
        <v>0</v>
      </c>
      <c r="BD310">
        <v>0</v>
      </c>
      <c r="BE310">
        <v>0</v>
      </c>
      <c r="BF310">
        <v>0</v>
      </c>
      <c r="BG310">
        <v>0</v>
      </c>
      <c r="BH310" t="s">
        <v>270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100</v>
      </c>
      <c r="BO310">
        <v>0</v>
      </c>
      <c r="BP310">
        <v>0</v>
      </c>
      <c r="BQ310">
        <v>0</v>
      </c>
      <c r="BR310">
        <v>0</v>
      </c>
      <c r="BS310">
        <v>0</v>
      </c>
      <c r="BT310" t="s">
        <v>271</v>
      </c>
      <c r="BU310">
        <v>100</v>
      </c>
      <c r="BV310">
        <v>0</v>
      </c>
      <c r="BW310" t="s">
        <v>268</v>
      </c>
      <c r="BX310" t="s">
        <v>272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100</v>
      </c>
      <c r="CE310">
        <v>0</v>
      </c>
      <c r="CF310">
        <v>0</v>
      </c>
      <c r="CG310">
        <v>0</v>
      </c>
      <c r="CH310">
        <v>0</v>
      </c>
      <c r="CI310">
        <v>0</v>
      </c>
      <c r="CJ310" t="s">
        <v>273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100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100</v>
      </c>
      <c r="CW310" t="s">
        <v>274</v>
      </c>
      <c r="CX310" t="s">
        <v>268</v>
      </c>
      <c r="CY310">
        <v>0</v>
      </c>
    </row>
    <row r="311" spans="5:103" x14ac:dyDescent="0.2">
      <c r="E311">
        <v>0</v>
      </c>
      <c r="F311" t="s">
        <v>155</v>
      </c>
      <c r="G311">
        <v>0</v>
      </c>
      <c r="H311" t="s">
        <v>155</v>
      </c>
      <c r="AL311">
        <v>0</v>
      </c>
      <c r="AM311">
        <v>0.3</v>
      </c>
      <c r="AN311">
        <v>0.3</v>
      </c>
      <c r="AO311">
        <v>0.4</v>
      </c>
      <c r="AP311" t="s">
        <v>268</v>
      </c>
      <c r="AQ311">
        <v>0.3</v>
      </c>
      <c r="AR311">
        <v>0.3</v>
      </c>
      <c r="AS311">
        <v>0.2</v>
      </c>
      <c r="AT311">
        <v>0.2</v>
      </c>
      <c r="AU311" t="s">
        <v>268</v>
      </c>
      <c r="AV311" t="s">
        <v>34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100</v>
      </c>
      <c r="BC311">
        <v>0</v>
      </c>
      <c r="BD311">
        <v>0</v>
      </c>
      <c r="BE311">
        <v>0</v>
      </c>
      <c r="BF311">
        <v>0</v>
      </c>
      <c r="BG311">
        <v>0</v>
      </c>
      <c r="BH311" t="s">
        <v>270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100</v>
      </c>
      <c r="BO311">
        <v>0</v>
      </c>
      <c r="BP311">
        <v>0</v>
      </c>
      <c r="BQ311">
        <v>0</v>
      </c>
      <c r="BR311">
        <v>0</v>
      </c>
      <c r="BS311">
        <v>0</v>
      </c>
      <c r="BT311" t="s">
        <v>271</v>
      </c>
      <c r="BU311">
        <v>100</v>
      </c>
      <c r="BV311">
        <v>0</v>
      </c>
      <c r="BW311" t="s">
        <v>268</v>
      </c>
      <c r="BX311" t="s">
        <v>272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100</v>
      </c>
      <c r="CE311">
        <v>0</v>
      </c>
      <c r="CF311">
        <v>0</v>
      </c>
      <c r="CG311">
        <v>0</v>
      </c>
      <c r="CH311">
        <v>0</v>
      </c>
      <c r="CI311">
        <v>0</v>
      </c>
      <c r="CJ311" t="s">
        <v>273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100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100</v>
      </c>
      <c r="CW311" t="s">
        <v>274</v>
      </c>
      <c r="CX311" t="s">
        <v>268</v>
      </c>
      <c r="CY311">
        <v>0</v>
      </c>
    </row>
    <row r="312" spans="5:103" x14ac:dyDescent="0.2">
      <c r="E312">
        <v>0</v>
      </c>
      <c r="F312" t="s">
        <v>155</v>
      </c>
      <c r="G312">
        <v>0</v>
      </c>
      <c r="H312" t="s">
        <v>155</v>
      </c>
      <c r="AL312">
        <v>0</v>
      </c>
      <c r="AM312">
        <v>0.3</v>
      </c>
      <c r="AN312">
        <v>0.3</v>
      </c>
      <c r="AO312">
        <v>0.4</v>
      </c>
      <c r="AP312" t="s">
        <v>268</v>
      </c>
      <c r="AQ312">
        <v>0.3</v>
      </c>
      <c r="AR312">
        <v>0.3</v>
      </c>
      <c r="AS312">
        <v>0.2</v>
      </c>
      <c r="AT312">
        <v>0.2</v>
      </c>
      <c r="AU312" t="s">
        <v>268</v>
      </c>
      <c r="AV312" t="s">
        <v>34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100</v>
      </c>
      <c r="BC312">
        <v>0</v>
      </c>
      <c r="BD312">
        <v>0</v>
      </c>
      <c r="BE312">
        <v>0</v>
      </c>
      <c r="BF312">
        <v>0</v>
      </c>
      <c r="BG312">
        <v>0</v>
      </c>
      <c r="BH312" t="s">
        <v>270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100</v>
      </c>
      <c r="BO312">
        <v>0</v>
      </c>
      <c r="BP312">
        <v>0</v>
      </c>
      <c r="BQ312">
        <v>0</v>
      </c>
      <c r="BR312">
        <v>0</v>
      </c>
      <c r="BS312">
        <v>0</v>
      </c>
      <c r="BT312" t="s">
        <v>271</v>
      </c>
      <c r="BU312">
        <v>100</v>
      </c>
      <c r="BV312">
        <v>0</v>
      </c>
      <c r="BW312" t="s">
        <v>268</v>
      </c>
      <c r="BX312" t="s">
        <v>272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100</v>
      </c>
      <c r="CE312">
        <v>0</v>
      </c>
      <c r="CF312">
        <v>0</v>
      </c>
      <c r="CG312">
        <v>0</v>
      </c>
      <c r="CH312">
        <v>0</v>
      </c>
      <c r="CI312">
        <v>0</v>
      </c>
      <c r="CJ312" t="s">
        <v>273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100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100</v>
      </c>
      <c r="CW312" t="s">
        <v>274</v>
      </c>
      <c r="CX312" t="s">
        <v>268</v>
      </c>
      <c r="CY312">
        <v>0</v>
      </c>
    </row>
    <row r="313" spans="5:103" x14ac:dyDescent="0.2">
      <c r="E313">
        <v>0</v>
      </c>
      <c r="F313" t="s">
        <v>155</v>
      </c>
      <c r="G313">
        <v>0</v>
      </c>
      <c r="H313" t="s">
        <v>155</v>
      </c>
      <c r="AL313">
        <v>0</v>
      </c>
      <c r="AM313">
        <v>0.3</v>
      </c>
      <c r="AN313">
        <v>0.3</v>
      </c>
      <c r="AO313">
        <v>0.4</v>
      </c>
      <c r="AP313" t="s">
        <v>268</v>
      </c>
      <c r="AQ313">
        <v>0.3</v>
      </c>
      <c r="AR313">
        <v>0.3</v>
      </c>
      <c r="AS313">
        <v>0.2</v>
      </c>
      <c r="AT313">
        <v>0.2</v>
      </c>
      <c r="AU313" t="s">
        <v>268</v>
      </c>
      <c r="AV313" t="s">
        <v>34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100</v>
      </c>
      <c r="BC313">
        <v>0</v>
      </c>
      <c r="BD313">
        <v>0</v>
      </c>
      <c r="BE313">
        <v>0</v>
      </c>
      <c r="BF313">
        <v>0</v>
      </c>
      <c r="BG313">
        <v>0</v>
      </c>
      <c r="BH313" t="s">
        <v>270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100</v>
      </c>
      <c r="BO313">
        <v>0</v>
      </c>
      <c r="BP313">
        <v>0</v>
      </c>
      <c r="BQ313">
        <v>0</v>
      </c>
      <c r="BR313">
        <v>0</v>
      </c>
      <c r="BS313">
        <v>0</v>
      </c>
      <c r="BT313" t="s">
        <v>271</v>
      </c>
      <c r="BU313">
        <v>100</v>
      </c>
      <c r="BV313">
        <v>0</v>
      </c>
      <c r="BW313" t="s">
        <v>268</v>
      </c>
      <c r="BX313" t="s">
        <v>272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100</v>
      </c>
      <c r="CE313">
        <v>0</v>
      </c>
      <c r="CF313">
        <v>0</v>
      </c>
      <c r="CG313">
        <v>0</v>
      </c>
      <c r="CH313">
        <v>0</v>
      </c>
      <c r="CI313">
        <v>0</v>
      </c>
      <c r="CJ313" t="s">
        <v>273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100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100</v>
      </c>
      <c r="CW313" t="s">
        <v>274</v>
      </c>
      <c r="CX313" t="s">
        <v>268</v>
      </c>
      <c r="CY313">
        <v>0</v>
      </c>
    </row>
    <row r="314" spans="5:103" x14ac:dyDescent="0.2">
      <c r="E314">
        <v>0</v>
      </c>
      <c r="F314" t="s">
        <v>155</v>
      </c>
      <c r="G314">
        <v>0</v>
      </c>
      <c r="H314" t="s">
        <v>155</v>
      </c>
      <c r="AL314">
        <v>0</v>
      </c>
      <c r="AM314">
        <v>0.3</v>
      </c>
      <c r="AN314">
        <v>0.3</v>
      </c>
      <c r="AO314">
        <v>0.4</v>
      </c>
      <c r="AP314" t="s">
        <v>268</v>
      </c>
      <c r="AQ314">
        <v>0.3</v>
      </c>
      <c r="AR314">
        <v>0.3</v>
      </c>
      <c r="AS314">
        <v>0.2</v>
      </c>
      <c r="AT314">
        <v>0.2</v>
      </c>
      <c r="AU314" t="s">
        <v>268</v>
      </c>
      <c r="AV314" t="s">
        <v>34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100</v>
      </c>
      <c r="BC314">
        <v>0</v>
      </c>
      <c r="BD314">
        <v>0</v>
      </c>
      <c r="BE314">
        <v>0</v>
      </c>
      <c r="BF314">
        <v>0</v>
      </c>
      <c r="BG314">
        <v>0</v>
      </c>
      <c r="BH314" t="s">
        <v>270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100</v>
      </c>
      <c r="BO314">
        <v>0</v>
      </c>
      <c r="BP314">
        <v>0</v>
      </c>
      <c r="BQ314">
        <v>0</v>
      </c>
      <c r="BR314">
        <v>0</v>
      </c>
      <c r="BS314">
        <v>0</v>
      </c>
      <c r="BT314" t="s">
        <v>271</v>
      </c>
      <c r="BU314">
        <v>100</v>
      </c>
      <c r="BV314">
        <v>0</v>
      </c>
      <c r="BW314" t="s">
        <v>268</v>
      </c>
      <c r="BX314" t="s">
        <v>272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100</v>
      </c>
      <c r="CE314">
        <v>0</v>
      </c>
      <c r="CF314">
        <v>0</v>
      </c>
      <c r="CG314">
        <v>0</v>
      </c>
      <c r="CH314">
        <v>0</v>
      </c>
      <c r="CI314">
        <v>0</v>
      </c>
      <c r="CJ314" t="s">
        <v>273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100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100</v>
      </c>
      <c r="CW314" t="s">
        <v>274</v>
      </c>
      <c r="CX314" t="s">
        <v>268</v>
      </c>
      <c r="CY314">
        <v>0</v>
      </c>
    </row>
    <row r="315" spans="5:103" x14ac:dyDescent="0.2">
      <c r="E315">
        <v>0</v>
      </c>
      <c r="F315" t="s">
        <v>155</v>
      </c>
      <c r="G315">
        <v>0</v>
      </c>
      <c r="H315" t="s">
        <v>155</v>
      </c>
      <c r="AL315">
        <v>0</v>
      </c>
      <c r="AM315">
        <v>0.3</v>
      </c>
      <c r="AN315">
        <v>0.3</v>
      </c>
      <c r="AO315">
        <v>0.4</v>
      </c>
      <c r="AP315" t="s">
        <v>268</v>
      </c>
      <c r="AQ315">
        <v>0.3</v>
      </c>
      <c r="AR315">
        <v>0.3</v>
      </c>
      <c r="AS315">
        <v>0.2</v>
      </c>
      <c r="AT315">
        <v>0.2</v>
      </c>
      <c r="AU315" t="s">
        <v>268</v>
      </c>
      <c r="AV315" t="s">
        <v>34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100</v>
      </c>
      <c r="BC315">
        <v>0</v>
      </c>
      <c r="BD315">
        <v>0</v>
      </c>
      <c r="BE315">
        <v>0</v>
      </c>
      <c r="BF315">
        <v>0</v>
      </c>
      <c r="BG315">
        <v>0</v>
      </c>
      <c r="BH315" t="s">
        <v>270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100</v>
      </c>
      <c r="BO315">
        <v>0</v>
      </c>
      <c r="BP315">
        <v>0</v>
      </c>
      <c r="BQ315">
        <v>0</v>
      </c>
      <c r="BR315">
        <v>0</v>
      </c>
      <c r="BS315">
        <v>0</v>
      </c>
      <c r="BT315" t="s">
        <v>271</v>
      </c>
      <c r="BU315">
        <v>100</v>
      </c>
      <c r="BV315">
        <v>0</v>
      </c>
      <c r="BW315" t="s">
        <v>268</v>
      </c>
      <c r="BX315" t="s">
        <v>272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100</v>
      </c>
      <c r="CE315">
        <v>0</v>
      </c>
      <c r="CF315">
        <v>0</v>
      </c>
      <c r="CG315">
        <v>0</v>
      </c>
      <c r="CH315">
        <v>0</v>
      </c>
      <c r="CI315">
        <v>0</v>
      </c>
      <c r="CJ315" t="s">
        <v>273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100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100</v>
      </c>
      <c r="CW315" t="s">
        <v>274</v>
      </c>
      <c r="CX315" t="s">
        <v>268</v>
      </c>
      <c r="CY315">
        <v>0</v>
      </c>
    </row>
    <row r="316" spans="5:103" x14ac:dyDescent="0.2">
      <c r="E316">
        <v>0</v>
      </c>
      <c r="F316" t="s">
        <v>155</v>
      </c>
      <c r="G316">
        <v>0</v>
      </c>
      <c r="H316" t="s">
        <v>155</v>
      </c>
      <c r="AL316">
        <v>0</v>
      </c>
      <c r="AM316">
        <v>0.3</v>
      </c>
      <c r="AN316">
        <v>0.3</v>
      </c>
      <c r="AO316">
        <v>0.4</v>
      </c>
      <c r="AP316" t="s">
        <v>268</v>
      </c>
      <c r="AQ316">
        <v>0.3</v>
      </c>
      <c r="AR316">
        <v>0.3</v>
      </c>
      <c r="AS316">
        <v>0.2</v>
      </c>
      <c r="AT316">
        <v>0.2</v>
      </c>
      <c r="AU316" t="s">
        <v>268</v>
      </c>
      <c r="AV316" t="s">
        <v>34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100</v>
      </c>
      <c r="BC316">
        <v>0</v>
      </c>
      <c r="BD316">
        <v>0</v>
      </c>
      <c r="BE316">
        <v>0</v>
      </c>
      <c r="BF316">
        <v>0</v>
      </c>
      <c r="BG316">
        <v>0</v>
      </c>
      <c r="BH316" t="s">
        <v>270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100</v>
      </c>
      <c r="BO316">
        <v>0</v>
      </c>
      <c r="BP316">
        <v>0</v>
      </c>
      <c r="BQ316">
        <v>0</v>
      </c>
      <c r="BR316">
        <v>0</v>
      </c>
      <c r="BS316">
        <v>0</v>
      </c>
      <c r="BT316" t="s">
        <v>271</v>
      </c>
      <c r="BU316">
        <v>100</v>
      </c>
      <c r="BV316">
        <v>0</v>
      </c>
      <c r="BW316" t="s">
        <v>268</v>
      </c>
      <c r="BX316" t="s">
        <v>272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100</v>
      </c>
      <c r="CE316">
        <v>0</v>
      </c>
      <c r="CF316">
        <v>0</v>
      </c>
      <c r="CG316">
        <v>0</v>
      </c>
      <c r="CH316">
        <v>0</v>
      </c>
      <c r="CI316">
        <v>0</v>
      </c>
      <c r="CJ316" t="s">
        <v>273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100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100</v>
      </c>
      <c r="CW316" t="s">
        <v>274</v>
      </c>
      <c r="CX316" t="s">
        <v>268</v>
      </c>
      <c r="CY316">
        <v>0</v>
      </c>
    </row>
    <row r="317" spans="5:103" x14ac:dyDescent="0.2">
      <c r="E317">
        <v>0</v>
      </c>
      <c r="F317" t="s">
        <v>155</v>
      </c>
      <c r="G317">
        <v>0</v>
      </c>
      <c r="H317" t="s">
        <v>155</v>
      </c>
      <c r="AL317">
        <v>0</v>
      </c>
      <c r="AM317">
        <v>0.3</v>
      </c>
      <c r="AN317">
        <v>0.3</v>
      </c>
      <c r="AO317">
        <v>0.4</v>
      </c>
      <c r="AP317" t="s">
        <v>268</v>
      </c>
      <c r="AQ317">
        <v>0.3</v>
      </c>
      <c r="AR317">
        <v>0.3</v>
      </c>
      <c r="AS317">
        <v>0.2</v>
      </c>
      <c r="AT317">
        <v>0.2</v>
      </c>
      <c r="AU317" t="s">
        <v>268</v>
      </c>
      <c r="AV317" t="s">
        <v>34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100</v>
      </c>
      <c r="BC317">
        <v>0</v>
      </c>
      <c r="BD317">
        <v>0</v>
      </c>
      <c r="BE317">
        <v>0</v>
      </c>
      <c r="BF317">
        <v>0</v>
      </c>
      <c r="BG317">
        <v>0</v>
      </c>
      <c r="BH317" t="s">
        <v>270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100</v>
      </c>
      <c r="BO317">
        <v>0</v>
      </c>
      <c r="BP317">
        <v>0</v>
      </c>
      <c r="BQ317">
        <v>0</v>
      </c>
      <c r="BR317">
        <v>0</v>
      </c>
      <c r="BS317">
        <v>0</v>
      </c>
      <c r="BT317" t="s">
        <v>271</v>
      </c>
      <c r="BU317">
        <v>100</v>
      </c>
      <c r="BV317">
        <v>0</v>
      </c>
      <c r="BW317" t="s">
        <v>268</v>
      </c>
      <c r="BX317" t="s">
        <v>272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100</v>
      </c>
      <c r="CE317">
        <v>0</v>
      </c>
      <c r="CF317">
        <v>0</v>
      </c>
      <c r="CG317">
        <v>0</v>
      </c>
      <c r="CH317">
        <v>0</v>
      </c>
      <c r="CI317">
        <v>0</v>
      </c>
      <c r="CJ317" t="s">
        <v>273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100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100</v>
      </c>
      <c r="CW317" t="s">
        <v>274</v>
      </c>
      <c r="CX317" t="s">
        <v>268</v>
      </c>
      <c r="CY317">
        <v>0</v>
      </c>
    </row>
    <row r="318" spans="5:103" x14ac:dyDescent="0.2">
      <c r="E318">
        <v>0</v>
      </c>
      <c r="F318" t="s">
        <v>155</v>
      </c>
      <c r="G318">
        <v>0</v>
      </c>
      <c r="H318" t="s">
        <v>155</v>
      </c>
      <c r="AL318">
        <v>0</v>
      </c>
      <c r="AM318">
        <v>0.3</v>
      </c>
      <c r="AN318">
        <v>0.3</v>
      </c>
      <c r="AO318">
        <v>0.4</v>
      </c>
      <c r="AP318" t="s">
        <v>268</v>
      </c>
      <c r="AQ318">
        <v>0.3</v>
      </c>
      <c r="AR318">
        <v>0.3</v>
      </c>
      <c r="AS318">
        <v>0.2</v>
      </c>
      <c r="AT318">
        <v>0.2</v>
      </c>
      <c r="AU318" t="s">
        <v>268</v>
      </c>
      <c r="AV318" t="s">
        <v>34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100</v>
      </c>
      <c r="BC318">
        <v>0</v>
      </c>
      <c r="BD318">
        <v>0</v>
      </c>
      <c r="BE318">
        <v>0</v>
      </c>
      <c r="BF318">
        <v>0</v>
      </c>
      <c r="BG318">
        <v>0</v>
      </c>
      <c r="BH318" t="s">
        <v>270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100</v>
      </c>
      <c r="BO318">
        <v>0</v>
      </c>
      <c r="BP318">
        <v>0</v>
      </c>
      <c r="BQ318">
        <v>0</v>
      </c>
      <c r="BR318">
        <v>0</v>
      </c>
      <c r="BS318">
        <v>0</v>
      </c>
      <c r="BT318" t="s">
        <v>271</v>
      </c>
      <c r="BU318">
        <v>100</v>
      </c>
      <c r="BV318">
        <v>0</v>
      </c>
      <c r="BW318" t="s">
        <v>268</v>
      </c>
      <c r="BX318" t="s">
        <v>272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100</v>
      </c>
      <c r="CE318">
        <v>0</v>
      </c>
      <c r="CF318">
        <v>0</v>
      </c>
      <c r="CG318">
        <v>0</v>
      </c>
      <c r="CH318">
        <v>0</v>
      </c>
      <c r="CI318">
        <v>0</v>
      </c>
      <c r="CJ318" t="s">
        <v>273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100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100</v>
      </c>
      <c r="CW318" t="s">
        <v>274</v>
      </c>
      <c r="CX318" t="s">
        <v>268</v>
      </c>
      <c r="CY318">
        <v>0</v>
      </c>
    </row>
    <row r="319" spans="5:103" x14ac:dyDescent="0.2">
      <c r="E319">
        <v>0</v>
      </c>
      <c r="F319" t="s">
        <v>155</v>
      </c>
      <c r="G319">
        <v>0</v>
      </c>
      <c r="H319" t="s">
        <v>155</v>
      </c>
      <c r="AL319">
        <v>0</v>
      </c>
      <c r="AM319">
        <v>0.3</v>
      </c>
      <c r="AN319">
        <v>0.3</v>
      </c>
      <c r="AO319">
        <v>0.4</v>
      </c>
      <c r="AP319" t="s">
        <v>268</v>
      </c>
      <c r="AQ319">
        <v>0.3</v>
      </c>
      <c r="AR319">
        <v>0.3</v>
      </c>
      <c r="AS319">
        <v>0.2</v>
      </c>
      <c r="AT319">
        <v>0.2</v>
      </c>
      <c r="AU319" t="s">
        <v>268</v>
      </c>
      <c r="AV319" t="s">
        <v>34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100</v>
      </c>
      <c r="BC319">
        <v>0</v>
      </c>
      <c r="BD319">
        <v>0</v>
      </c>
      <c r="BE319">
        <v>0</v>
      </c>
      <c r="BF319">
        <v>0</v>
      </c>
      <c r="BG319">
        <v>0</v>
      </c>
      <c r="BH319" t="s">
        <v>270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100</v>
      </c>
      <c r="BO319">
        <v>0</v>
      </c>
      <c r="BP319">
        <v>0</v>
      </c>
      <c r="BQ319">
        <v>0</v>
      </c>
      <c r="BR319">
        <v>0</v>
      </c>
      <c r="BS319">
        <v>0</v>
      </c>
      <c r="BT319" t="s">
        <v>271</v>
      </c>
      <c r="BU319">
        <v>100</v>
      </c>
      <c r="BV319">
        <v>0</v>
      </c>
      <c r="BW319" t="s">
        <v>268</v>
      </c>
      <c r="BX319" t="s">
        <v>272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100</v>
      </c>
      <c r="CE319">
        <v>0</v>
      </c>
      <c r="CF319">
        <v>0</v>
      </c>
      <c r="CG319">
        <v>0</v>
      </c>
      <c r="CH319">
        <v>0</v>
      </c>
      <c r="CI319">
        <v>0</v>
      </c>
      <c r="CJ319" t="s">
        <v>273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100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100</v>
      </c>
      <c r="CW319" t="s">
        <v>274</v>
      </c>
      <c r="CX319" t="s">
        <v>268</v>
      </c>
      <c r="CY319">
        <v>0</v>
      </c>
    </row>
    <row r="320" spans="5:103" x14ac:dyDescent="0.2">
      <c r="E320">
        <v>0</v>
      </c>
      <c r="F320" t="s">
        <v>155</v>
      </c>
      <c r="G320">
        <v>0</v>
      </c>
      <c r="H320" t="s">
        <v>155</v>
      </c>
      <c r="AL320">
        <v>0</v>
      </c>
      <c r="AM320">
        <v>0.3</v>
      </c>
      <c r="AN320">
        <v>0.3</v>
      </c>
      <c r="AO320">
        <v>0.4</v>
      </c>
      <c r="AP320" t="s">
        <v>268</v>
      </c>
      <c r="AQ320">
        <v>0.3</v>
      </c>
      <c r="AR320">
        <v>0.3</v>
      </c>
      <c r="AS320">
        <v>0.2</v>
      </c>
      <c r="AT320">
        <v>0.2</v>
      </c>
      <c r="AU320" t="s">
        <v>268</v>
      </c>
      <c r="AV320" t="s">
        <v>34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100</v>
      </c>
      <c r="BC320">
        <v>0</v>
      </c>
      <c r="BD320">
        <v>0</v>
      </c>
      <c r="BE320">
        <v>0</v>
      </c>
      <c r="BF320">
        <v>0</v>
      </c>
      <c r="BG320">
        <v>0</v>
      </c>
      <c r="BH320" t="s">
        <v>270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100</v>
      </c>
      <c r="BO320">
        <v>0</v>
      </c>
      <c r="BP320">
        <v>0</v>
      </c>
      <c r="BQ320">
        <v>0</v>
      </c>
      <c r="BR320">
        <v>0</v>
      </c>
      <c r="BS320">
        <v>0</v>
      </c>
      <c r="BT320" t="s">
        <v>271</v>
      </c>
      <c r="BU320">
        <v>100</v>
      </c>
      <c r="BV320">
        <v>0</v>
      </c>
      <c r="BW320" t="s">
        <v>268</v>
      </c>
      <c r="BX320" t="s">
        <v>272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100</v>
      </c>
      <c r="CE320">
        <v>0</v>
      </c>
      <c r="CF320">
        <v>0</v>
      </c>
      <c r="CG320">
        <v>0</v>
      </c>
      <c r="CH320">
        <v>0</v>
      </c>
      <c r="CI320">
        <v>0</v>
      </c>
      <c r="CJ320" t="s">
        <v>273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100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100</v>
      </c>
      <c r="CW320" t="s">
        <v>274</v>
      </c>
      <c r="CX320" t="s">
        <v>268</v>
      </c>
      <c r="CY320">
        <v>0</v>
      </c>
    </row>
    <row r="321" spans="5:103" x14ac:dyDescent="0.2">
      <c r="E321">
        <v>0</v>
      </c>
      <c r="F321" t="s">
        <v>155</v>
      </c>
      <c r="G321">
        <v>0</v>
      </c>
      <c r="H321" t="s">
        <v>155</v>
      </c>
      <c r="AL321">
        <v>0</v>
      </c>
      <c r="AM321">
        <v>0.3</v>
      </c>
      <c r="AN321">
        <v>0.3</v>
      </c>
      <c r="AO321">
        <v>0.4</v>
      </c>
      <c r="AP321" t="s">
        <v>268</v>
      </c>
      <c r="AQ321">
        <v>0.3</v>
      </c>
      <c r="AR321">
        <v>0.3</v>
      </c>
      <c r="AS321">
        <v>0.2</v>
      </c>
      <c r="AT321">
        <v>0.2</v>
      </c>
      <c r="AU321" t="s">
        <v>268</v>
      </c>
      <c r="AV321" t="s">
        <v>34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100</v>
      </c>
      <c r="BC321">
        <v>0</v>
      </c>
      <c r="BD321">
        <v>0</v>
      </c>
      <c r="BE321">
        <v>0</v>
      </c>
      <c r="BF321">
        <v>0</v>
      </c>
      <c r="BG321">
        <v>0</v>
      </c>
      <c r="BH321" t="s">
        <v>270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100</v>
      </c>
      <c r="BO321">
        <v>0</v>
      </c>
      <c r="BP321">
        <v>0</v>
      </c>
      <c r="BQ321">
        <v>0</v>
      </c>
      <c r="BR321">
        <v>0</v>
      </c>
      <c r="BS321">
        <v>0</v>
      </c>
      <c r="BT321" t="s">
        <v>271</v>
      </c>
      <c r="BU321">
        <v>100</v>
      </c>
      <c r="BV321">
        <v>0</v>
      </c>
      <c r="BW321" t="s">
        <v>268</v>
      </c>
      <c r="BX321" t="s">
        <v>272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100</v>
      </c>
      <c r="CE321">
        <v>0</v>
      </c>
      <c r="CF321">
        <v>0</v>
      </c>
      <c r="CG321">
        <v>0</v>
      </c>
      <c r="CH321">
        <v>0</v>
      </c>
      <c r="CI321">
        <v>0</v>
      </c>
      <c r="CJ321" t="s">
        <v>273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100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100</v>
      </c>
      <c r="CW321" t="s">
        <v>274</v>
      </c>
      <c r="CX321" t="s">
        <v>268</v>
      </c>
      <c r="CY321">
        <v>0</v>
      </c>
    </row>
    <row r="322" spans="5:103" x14ac:dyDescent="0.2">
      <c r="E322">
        <v>0</v>
      </c>
      <c r="F322" t="s">
        <v>155</v>
      </c>
      <c r="G322">
        <v>0</v>
      </c>
      <c r="H322" t="s">
        <v>155</v>
      </c>
      <c r="AL322">
        <v>0</v>
      </c>
      <c r="AM322">
        <v>0.3</v>
      </c>
      <c r="AN322">
        <v>0.3</v>
      </c>
      <c r="AO322">
        <v>0.4</v>
      </c>
      <c r="AP322" t="s">
        <v>268</v>
      </c>
      <c r="AQ322">
        <v>0.3</v>
      </c>
      <c r="AR322">
        <v>0.3</v>
      </c>
      <c r="AS322">
        <v>0.2</v>
      </c>
      <c r="AT322">
        <v>0.2</v>
      </c>
      <c r="AU322" t="s">
        <v>268</v>
      </c>
      <c r="AV322" t="s">
        <v>34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100</v>
      </c>
      <c r="BC322">
        <v>0</v>
      </c>
      <c r="BD322">
        <v>0</v>
      </c>
      <c r="BE322">
        <v>0</v>
      </c>
      <c r="BF322">
        <v>0</v>
      </c>
      <c r="BG322">
        <v>0</v>
      </c>
      <c r="BH322" t="s">
        <v>270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100</v>
      </c>
      <c r="BO322">
        <v>0</v>
      </c>
      <c r="BP322">
        <v>0</v>
      </c>
      <c r="BQ322">
        <v>0</v>
      </c>
      <c r="BR322">
        <v>0</v>
      </c>
      <c r="BS322">
        <v>0</v>
      </c>
      <c r="BT322" t="s">
        <v>271</v>
      </c>
      <c r="BU322">
        <v>100</v>
      </c>
      <c r="BV322">
        <v>0</v>
      </c>
      <c r="BW322" t="s">
        <v>268</v>
      </c>
      <c r="BX322" t="s">
        <v>272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100</v>
      </c>
      <c r="CE322">
        <v>0</v>
      </c>
      <c r="CF322">
        <v>0</v>
      </c>
      <c r="CG322">
        <v>0</v>
      </c>
      <c r="CH322">
        <v>0</v>
      </c>
      <c r="CI322">
        <v>0</v>
      </c>
      <c r="CJ322" t="s">
        <v>273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100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100</v>
      </c>
      <c r="CW322" t="s">
        <v>274</v>
      </c>
      <c r="CX322" t="s">
        <v>268</v>
      </c>
      <c r="CY322">
        <v>0</v>
      </c>
    </row>
    <row r="323" spans="5:103" x14ac:dyDescent="0.2">
      <c r="E323">
        <v>0</v>
      </c>
      <c r="F323" t="s">
        <v>155</v>
      </c>
      <c r="G323">
        <v>0</v>
      </c>
      <c r="H323" t="s">
        <v>155</v>
      </c>
      <c r="AL323">
        <v>0</v>
      </c>
      <c r="AM323">
        <v>0.3</v>
      </c>
      <c r="AN323">
        <v>0.3</v>
      </c>
      <c r="AO323">
        <v>0.4</v>
      </c>
      <c r="AP323" t="s">
        <v>268</v>
      </c>
      <c r="AQ323">
        <v>0.3</v>
      </c>
      <c r="AR323">
        <v>0.3</v>
      </c>
      <c r="AS323">
        <v>0.2</v>
      </c>
      <c r="AT323">
        <v>0.2</v>
      </c>
      <c r="AU323" t="s">
        <v>268</v>
      </c>
      <c r="AV323" t="s">
        <v>34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100</v>
      </c>
      <c r="BC323">
        <v>0</v>
      </c>
      <c r="BD323">
        <v>0</v>
      </c>
      <c r="BE323">
        <v>0</v>
      </c>
      <c r="BF323">
        <v>0</v>
      </c>
      <c r="BG323">
        <v>0</v>
      </c>
      <c r="BH323" t="s">
        <v>270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100</v>
      </c>
      <c r="BO323">
        <v>0</v>
      </c>
      <c r="BP323">
        <v>0</v>
      </c>
      <c r="BQ323">
        <v>0</v>
      </c>
      <c r="BR323">
        <v>0</v>
      </c>
      <c r="BS323">
        <v>0</v>
      </c>
      <c r="BT323" t="s">
        <v>271</v>
      </c>
      <c r="BU323">
        <v>100</v>
      </c>
      <c r="BV323">
        <v>0</v>
      </c>
      <c r="BW323" t="s">
        <v>268</v>
      </c>
      <c r="BX323" t="s">
        <v>272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100</v>
      </c>
      <c r="CE323">
        <v>0</v>
      </c>
      <c r="CF323">
        <v>0</v>
      </c>
      <c r="CG323">
        <v>0</v>
      </c>
      <c r="CH323">
        <v>0</v>
      </c>
      <c r="CI323">
        <v>0</v>
      </c>
      <c r="CJ323" t="s">
        <v>273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100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100</v>
      </c>
      <c r="CW323" t="s">
        <v>274</v>
      </c>
      <c r="CX323" t="s">
        <v>268</v>
      </c>
      <c r="CY323">
        <v>0</v>
      </c>
    </row>
    <row r="324" spans="5:103" x14ac:dyDescent="0.2">
      <c r="E324">
        <v>0</v>
      </c>
      <c r="F324" t="s">
        <v>155</v>
      </c>
      <c r="G324">
        <v>0</v>
      </c>
      <c r="H324" t="s">
        <v>155</v>
      </c>
      <c r="AL324">
        <v>0</v>
      </c>
      <c r="AM324">
        <v>0.3</v>
      </c>
      <c r="AN324">
        <v>0.3</v>
      </c>
      <c r="AO324">
        <v>0.4</v>
      </c>
      <c r="AP324" t="s">
        <v>268</v>
      </c>
      <c r="AQ324">
        <v>0.3</v>
      </c>
      <c r="AR324">
        <v>0.3</v>
      </c>
      <c r="AS324">
        <v>0.2</v>
      </c>
      <c r="AT324">
        <v>0.2</v>
      </c>
      <c r="AU324" t="s">
        <v>268</v>
      </c>
      <c r="AV324" t="s">
        <v>34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100</v>
      </c>
      <c r="BC324">
        <v>0</v>
      </c>
      <c r="BD324">
        <v>0</v>
      </c>
      <c r="BE324">
        <v>0</v>
      </c>
      <c r="BF324">
        <v>0</v>
      </c>
      <c r="BG324">
        <v>0</v>
      </c>
      <c r="BH324" t="s">
        <v>270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100</v>
      </c>
      <c r="BO324">
        <v>0</v>
      </c>
      <c r="BP324">
        <v>0</v>
      </c>
      <c r="BQ324">
        <v>0</v>
      </c>
      <c r="BR324">
        <v>0</v>
      </c>
      <c r="BS324">
        <v>0</v>
      </c>
      <c r="BT324" t="s">
        <v>271</v>
      </c>
      <c r="BU324">
        <v>100</v>
      </c>
      <c r="BV324">
        <v>0</v>
      </c>
      <c r="BW324" t="s">
        <v>268</v>
      </c>
      <c r="BX324" t="s">
        <v>272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100</v>
      </c>
      <c r="CE324">
        <v>0</v>
      </c>
      <c r="CF324">
        <v>0</v>
      </c>
      <c r="CG324">
        <v>0</v>
      </c>
      <c r="CH324">
        <v>0</v>
      </c>
      <c r="CI324">
        <v>0</v>
      </c>
      <c r="CJ324" t="s">
        <v>273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100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100</v>
      </c>
      <c r="CW324" t="s">
        <v>274</v>
      </c>
      <c r="CX324" t="s">
        <v>268</v>
      </c>
      <c r="CY324">
        <v>0</v>
      </c>
    </row>
    <row r="325" spans="5:103" x14ac:dyDescent="0.2">
      <c r="E325">
        <v>0</v>
      </c>
      <c r="F325" t="s">
        <v>155</v>
      </c>
      <c r="G325">
        <v>0</v>
      </c>
      <c r="H325" t="s">
        <v>155</v>
      </c>
      <c r="AL325">
        <v>0</v>
      </c>
      <c r="AM325">
        <v>0.3</v>
      </c>
      <c r="AN325">
        <v>0.3</v>
      </c>
      <c r="AO325">
        <v>0.4</v>
      </c>
      <c r="AP325" t="s">
        <v>268</v>
      </c>
      <c r="AQ325">
        <v>0.3</v>
      </c>
      <c r="AR325">
        <v>0.3</v>
      </c>
      <c r="AS325">
        <v>0.2</v>
      </c>
      <c r="AT325">
        <v>0.2</v>
      </c>
      <c r="AU325" t="s">
        <v>268</v>
      </c>
      <c r="AV325" t="s">
        <v>34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100</v>
      </c>
      <c r="BC325">
        <v>0</v>
      </c>
      <c r="BD325">
        <v>0</v>
      </c>
      <c r="BE325">
        <v>0</v>
      </c>
      <c r="BF325">
        <v>0</v>
      </c>
      <c r="BG325">
        <v>0</v>
      </c>
      <c r="BH325" t="s">
        <v>270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100</v>
      </c>
      <c r="BO325">
        <v>0</v>
      </c>
      <c r="BP325">
        <v>0</v>
      </c>
      <c r="BQ325">
        <v>0</v>
      </c>
      <c r="BR325">
        <v>0</v>
      </c>
      <c r="BS325">
        <v>0</v>
      </c>
      <c r="BT325" t="s">
        <v>271</v>
      </c>
      <c r="BU325">
        <v>100</v>
      </c>
      <c r="BV325">
        <v>0</v>
      </c>
      <c r="BW325" t="s">
        <v>268</v>
      </c>
      <c r="BX325" t="s">
        <v>272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100</v>
      </c>
      <c r="CE325">
        <v>0</v>
      </c>
      <c r="CF325">
        <v>0</v>
      </c>
      <c r="CG325">
        <v>0</v>
      </c>
      <c r="CH325">
        <v>0</v>
      </c>
      <c r="CI325">
        <v>0</v>
      </c>
      <c r="CJ325" t="s">
        <v>273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100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100</v>
      </c>
      <c r="CW325" t="s">
        <v>274</v>
      </c>
      <c r="CX325" t="s">
        <v>268</v>
      </c>
      <c r="CY325">
        <v>0</v>
      </c>
    </row>
    <row r="326" spans="5:103" x14ac:dyDescent="0.2">
      <c r="E326">
        <v>0</v>
      </c>
      <c r="F326" t="s">
        <v>155</v>
      </c>
      <c r="G326">
        <v>0</v>
      </c>
      <c r="H326" t="s">
        <v>155</v>
      </c>
      <c r="AL326">
        <v>0</v>
      </c>
      <c r="AM326">
        <v>0.3</v>
      </c>
      <c r="AN326">
        <v>0.3</v>
      </c>
      <c r="AO326">
        <v>0.4</v>
      </c>
      <c r="AP326" t="s">
        <v>268</v>
      </c>
      <c r="AQ326">
        <v>0.3</v>
      </c>
      <c r="AR326">
        <v>0.3</v>
      </c>
      <c r="AS326">
        <v>0.2</v>
      </c>
      <c r="AT326">
        <v>0.2</v>
      </c>
      <c r="AU326" t="s">
        <v>268</v>
      </c>
      <c r="AV326" t="s">
        <v>34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100</v>
      </c>
      <c r="BC326">
        <v>0</v>
      </c>
      <c r="BD326">
        <v>0</v>
      </c>
      <c r="BE326">
        <v>0</v>
      </c>
      <c r="BF326">
        <v>0</v>
      </c>
      <c r="BG326">
        <v>0</v>
      </c>
      <c r="BH326" t="s">
        <v>270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100</v>
      </c>
      <c r="BO326">
        <v>0</v>
      </c>
      <c r="BP326">
        <v>0</v>
      </c>
      <c r="BQ326">
        <v>0</v>
      </c>
      <c r="BR326">
        <v>0</v>
      </c>
      <c r="BS326">
        <v>0</v>
      </c>
      <c r="BT326" t="s">
        <v>271</v>
      </c>
      <c r="BU326">
        <v>100</v>
      </c>
      <c r="BV326">
        <v>0</v>
      </c>
      <c r="BW326" t="s">
        <v>268</v>
      </c>
      <c r="BX326" t="s">
        <v>272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100</v>
      </c>
      <c r="CE326">
        <v>0</v>
      </c>
      <c r="CF326">
        <v>0</v>
      </c>
      <c r="CG326">
        <v>0</v>
      </c>
      <c r="CH326">
        <v>0</v>
      </c>
      <c r="CI326">
        <v>0</v>
      </c>
      <c r="CJ326" t="s">
        <v>273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100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100</v>
      </c>
      <c r="CW326" t="s">
        <v>274</v>
      </c>
      <c r="CX326" t="s">
        <v>268</v>
      </c>
      <c r="CY326">
        <v>0</v>
      </c>
    </row>
    <row r="327" spans="5:103" x14ac:dyDescent="0.2">
      <c r="E327">
        <v>0</v>
      </c>
      <c r="F327" t="s">
        <v>155</v>
      </c>
      <c r="G327">
        <v>0</v>
      </c>
      <c r="H327" t="s">
        <v>155</v>
      </c>
      <c r="AL327">
        <v>0</v>
      </c>
      <c r="AM327">
        <v>0.3</v>
      </c>
      <c r="AN327">
        <v>0.3</v>
      </c>
      <c r="AO327">
        <v>0.4</v>
      </c>
      <c r="AP327" t="s">
        <v>268</v>
      </c>
      <c r="AQ327">
        <v>0.3</v>
      </c>
      <c r="AR327">
        <v>0.3</v>
      </c>
      <c r="AS327">
        <v>0.2</v>
      </c>
      <c r="AT327">
        <v>0.2</v>
      </c>
      <c r="AU327" t="s">
        <v>268</v>
      </c>
      <c r="AV327" t="s">
        <v>34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100</v>
      </c>
      <c r="BC327">
        <v>0</v>
      </c>
      <c r="BD327">
        <v>0</v>
      </c>
      <c r="BE327">
        <v>0</v>
      </c>
      <c r="BF327">
        <v>0</v>
      </c>
      <c r="BG327">
        <v>0</v>
      </c>
      <c r="BH327" t="s">
        <v>270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100</v>
      </c>
      <c r="BO327">
        <v>0</v>
      </c>
      <c r="BP327">
        <v>0</v>
      </c>
      <c r="BQ327">
        <v>0</v>
      </c>
      <c r="BR327">
        <v>0</v>
      </c>
      <c r="BS327">
        <v>0</v>
      </c>
      <c r="BT327" t="s">
        <v>271</v>
      </c>
      <c r="BU327">
        <v>100</v>
      </c>
      <c r="BV327">
        <v>0</v>
      </c>
      <c r="BW327" t="s">
        <v>268</v>
      </c>
      <c r="BX327" t="s">
        <v>272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100</v>
      </c>
      <c r="CE327">
        <v>0</v>
      </c>
      <c r="CF327">
        <v>0</v>
      </c>
      <c r="CG327">
        <v>0</v>
      </c>
      <c r="CH327">
        <v>0</v>
      </c>
      <c r="CI327">
        <v>0</v>
      </c>
      <c r="CJ327" t="s">
        <v>273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100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100</v>
      </c>
      <c r="CW327" t="s">
        <v>274</v>
      </c>
      <c r="CX327" t="s">
        <v>268</v>
      </c>
      <c r="CY327">
        <v>0</v>
      </c>
    </row>
    <row r="328" spans="5:103" x14ac:dyDescent="0.2">
      <c r="E328">
        <v>0</v>
      </c>
      <c r="F328" t="s">
        <v>155</v>
      </c>
      <c r="G328">
        <v>0</v>
      </c>
      <c r="H328" t="s">
        <v>155</v>
      </c>
      <c r="AL328">
        <v>0</v>
      </c>
      <c r="AM328">
        <v>0.3</v>
      </c>
      <c r="AN328">
        <v>0.3</v>
      </c>
      <c r="AO328">
        <v>0.4</v>
      </c>
      <c r="AP328" t="s">
        <v>268</v>
      </c>
      <c r="AQ328">
        <v>0.3</v>
      </c>
      <c r="AR328">
        <v>0.3</v>
      </c>
      <c r="AS328">
        <v>0.2</v>
      </c>
      <c r="AT328">
        <v>0.2</v>
      </c>
      <c r="AU328" t="s">
        <v>268</v>
      </c>
      <c r="AV328" t="s">
        <v>34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100</v>
      </c>
      <c r="BC328">
        <v>0</v>
      </c>
      <c r="BD328">
        <v>0</v>
      </c>
      <c r="BE328">
        <v>0</v>
      </c>
      <c r="BF328">
        <v>0</v>
      </c>
      <c r="BG328">
        <v>0</v>
      </c>
      <c r="BH328" t="s">
        <v>270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100</v>
      </c>
      <c r="BO328">
        <v>0</v>
      </c>
      <c r="BP328">
        <v>0</v>
      </c>
      <c r="BQ328">
        <v>0</v>
      </c>
      <c r="BR328">
        <v>0</v>
      </c>
      <c r="BS328">
        <v>0</v>
      </c>
      <c r="BT328" t="s">
        <v>271</v>
      </c>
      <c r="BU328">
        <v>100</v>
      </c>
      <c r="BV328">
        <v>0</v>
      </c>
      <c r="BW328" t="s">
        <v>268</v>
      </c>
      <c r="BX328" t="s">
        <v>272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100</v>
      </c>
      <c r="CE328">
        <v>0</v>
      </c>
      <c r="CF328">
        <v>0</v>
      </c>
      <c r="CG328">
        <v>0</v>
      </c>
      <c r="CH328">
        <v>0</v>
      </c>
      <c r="CI328">
        <v>0</v>
      </c>
      <c r="CJ328" t="s">
        <v>273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100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100</v>
      </c>
      <c r="CW328" t="s">
        <v>274</v>
      </c>
      <c r="CX328" t="s">
        <v>268</v>
      </c>
      <c r="CY328">
        <v>0</v>
      </c>
    </row>
    <row r="329" spans="5:103" x14ac:dyDescent="0.2">
      <c r="E329">
        <v>0</v>
      </c>
      <c r="F329" t="s">
        <v>155</v>
      </c>
      <c r="G329">
        <v>0</v>
      </c>
      <c r="H329" t="s">
        <v>155</v>
      </c>
      <c r="AL329">
        <v>0</v>
      </c>
      <c r="AM329">
        <v>0.3</v>
      </c>
      <c r="AN329">
        <v>0.3</v>
      </c>
      <c r="AO329">
        <v>0.4</v>
      </c>
      <c r="AP329" t="s">
        <v>268</v>
      </c>
      <c r="AQ329">
        <v>0.3</v>
      </c>
      <c r="AR329">
        <v>0.3</v>
      </c>
      <c r="AS329">
        <v>0.2</v>
      </c>
      <c r="AT329">
        <v>0.2</v>
      </c>
      <c r="AU329" t="s">
        <v>268</v>
      </c>
      <c r="AV329" t="s">
        <v>34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100</v>
      </c>
      <c r="BC329">
        <v>0</v>
      </c>
      <c r="BD329">
        <v>0</v>
      </c>
      <c r="BE329">
        <v>0</v>
      </c>
      <c r="BF329">
        <v>0</v>
      </c>
      <c r="BG329">
        <v>0</v>
      </c>
      <c r="BH329" t="s">
        <v>270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100</v>
      </c>
      <c r="BO329">
        <v>0</v>
      </c>
      <c r="BP329">
        <v>0</v>
      </c>
      <c r="BQ329">
        <v>0</v>
      </c>
      <c r="BR329">
        <v>0</v>
      </c>
      <c r="BS329">
        <v>0</v>
      </c>
      <c r="BT329" t="s">
        <v>271</v>
      </c>
      <c r="BU329">
        <v>100</v>
      </c>
      <c r="BV329">
        <v>0</v>
      </c>
      <c r="BW329" t="s">
        <v>268</v>
      </c>
      <c r="BX329" t="s">
        <v>272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100</v>
      </c>
      <c r="CE329">
        <v>0</v>
      </c>
      <c r="CF329">
        <v>0</v>
      </c>
      <c r="CG329">
        <v>0</v>
      </c>
      <c r="CH329">
        <v>0</v>
      </c>
      <c r="CI329">
        <v>0</v>
      </c>
      <c r="CJ329" t="s">
        <v>273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100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100</v>
      </c>
      <c r="CW329" t="s">
        <v>274</v>
      </c>
      <c r="CX329" t="s">
        <v>268</v>
      </c>
      <c r="CY329">
        <v>0</v>
      </c>
    </row>
    <row r="330" spans="5:103" x14ac:dyDescent="0.2">
      <c r="E330">
        <v>0</v>
      </c>
      <c r="F330" t="s">
        <v>155</v>
      </c>
      <c r="G330">
        <v>0</v>
      </c>
      <c r="H330" t="s">
        <v>155</v>
      </c>
      <c r="AL330">
        <v>0</v>
      </c>
      <c r="AM330">
        <v>0.3</v>
      </c>
      <c r="AN330">
        <v>0.3</v>
      </c>
      <c r="AO330">
        <v>0.4</v>
      </c>
      <c r="AP330" t="s">
        <v>268</v>
      </c>
      <c r="AQ330">
        <v>0.3</v>
      </c>
      <c r="AR330">
        <v>0.3</v>
      </c>
      <c r="AS330">
        <v>0.2</v>
      </c>
      <c r="AT330">
        <v>0.2</v>
      </c>
      <c r="AU330" t="s">
        <v>268</v>
      </c>
      <c r="AV330" t="s">
        <v>34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100</v>
      </c>
      <c r="BC330">
        <v>0</v>
      </c>
      <c r="BD330">
        <v>0</v>
      </c>
      <c r="BE330">
        <v>0</v>
      </c>
      <c r="BF330">
        <v>0</v>
      </c>
      <c r="BG330">
        <v>0</v>
      </c>
      <c r="BH330" t="s">
        <v>270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100</v>
      </c>
      <c r="BO330">
        <v>0</v>
      </c>
      <c r="BP330">
        <v>0</v>
      </c>
      <c r="BQ330">
        <v>0</v>
      </c>
      <c r="BR330">
        <v>0</v>
      </c>
      <c r="BS330">
        <v>0</v>
      </c>
      <c r="BT330" t="s">
        <v>271</v>
      </c>
      <c r="BU330">
        <v>100</v>
      </c>
      <c r="BV330">
        <v>0</v>
      </c>
      <c r="BW330" t="s">
        <v>268</v>
      </c>
      <c r="BX330" t="s">
        <v>272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100</v>
      </c>
      <c r="CE330">
        <v>0</v>
      </c>
      <c r="CF330">
        <v>0</v>
      </c>
      <c r="CG330">
        <v>0</v>
      </c>
      <c r="CH330">
        <v>0</v>
      </c>
      <c r="CI330">
        <v>0</v>
      </c>
      <c r="CJ330" t="s">
        <v>273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100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100</v>
      </c>
      <c r="CW330" t="s">
        <v>274</v>
      </c>
      <c r="CX330" t="s">
        <v>268</v>
      </c>
      <c r="CY330">
        <v>0</v>
      </c>
    </row>
    <row r="331" spans="5:103" x14ac:dyDescent="0.2">
      <c r="E331">
        <v>0</v>
      </c>
      <c r="F331" t="s">
        <v>155</v>
      </c>
      <c r="G331">
        <v>0</v>
      </c>
      <c r="H331" t="s">
        <v>155</v>
      </c>
      <c r="AL331">
        <v>0</v>
      </c>
      <c r="AM331">
        <v>0.3</v>
      </c>
      <c r="AN331">
        <v>0.3</v>
      </c>
      <c r="AO331">
        <v>0.4</v>
      </c>
      <c r="AP331" t="s">
        <v>268</v>
      </c>
      <c r="AQ331">
        <v>0.3</v>
      </c>
      <c r="AR331">
        <v>0.3</v>
      </c>
      <c r="AS331">
        <v>0.2</v>
      </c>
      <c r="AT331">
        <v>0.2</v>
      </c>
      <c r="AU331" t="s">
        <v>268</v>
      </c>
      <c r="AV331" t="s">
        <v>34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100</v>
      </c>
      <c r="BC331">
        <v>0</v>
      </c>
      <c r="BD331">
        <v>0</v>
      </c>
      <c r="BE331">
        <v>0</v>
      </c>
      <c r="BF331">
        <v>0</v>
      </c>
      <c r="BG331">
        <v>0</v>
      </c>
      <c r="BH331" t="s">
        <v>270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100</v>
      </c>
      <c r="BO331">
        <v>0</v>
      </c>
      <c r="BP331">
        <v>0</v>
      </c>
      <c r="BQ331">
        <v>0</v>
      </c>
      <c r="BR331">
        <v>0</v>
      </c>
      <c r="BS331">
        <v>0</v>
      </c>
      <c r="BT331" t="s">
        <v>271</v>
      </c>
      <c r="BU331">
        <v>100</v>
      </c>
      <c r="BV331">
        <v>0</v>
      </c>
      <c r="BW331" t="s">
        <v>268</v>
      </c>
      <c r="BX331" t="s">
        <v>272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100</v>
      </c>
      <c r="CE331">
        <v>0</v>
      </c>
      <c r="CF331">
        <v>0</v>
      </c>
      <c r="CG331">
        <v>0</v>
      </c>
      <c r="CH331">
        <v>0</v>
      </c>
      <c r="CI331">
        <v>0</v>
      </c>
      <c r="CJ331" t="s">
        <v>273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100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100</v>
      </c>
      <c r="CW331" t="s">
        <v>274</v>
      </c>
      <c r="CX331" t="s">
        <v>268</v>
      </c>
      <c r="CY331">
        <v>0</v>
      </c>
    </row>
    <row r="332" spans="5:103" x14ac:dyDescent="0.2">
      <c r="E332">
        <v>0</v>
      </c>
      <c r="F332" t="s">
        <v>155</v>
      </c>
      <c r="G332">
        <v>0</v>
      </c>
      <c r="H332" t="s">
        <v>155</v>
      </c>
      <c r="AL332">
        <v>0</v>
      </c>
      <c r="AM332">
        <v>0.3</v>
      </c>
      <c r="AN332">
        <v>0.3</v>
      </c>
      <c r="AO332">
        <v>0.4</v>
      </c>
      <c r="AP332" t="s">
        <v>268</v>
      </c>
      <c r="AQ332">
        <v>0.3</v>
      </c>
      <c r="AR332">
        <v>0.3</v>
      </c>
      <c r="AS332">
        <v>0.2</v>
      </c>
      <c r="AT332">
        <v>0.2</v>
      </c>
      <c r="AU332" t="s">
        <v>268</v>
      </c>
      <c r="AV332" t="s">
        <v>34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100</v>
      </c>
      <c r="BC332">
        <v>0</v>
      </c>
      <c r="BD332">
        <v>0</v>
      </c>
      <c r="BE332">
        <v>0</v>
      </c>
      <c r="BF332">
        <v>0</v>
      </c>
      <c r="BG332">
        <v>0</v>
      </c>
      <c r="BH332" t="s">
        <v>270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100</v>
      </c>
      <c r="BO332">
        <v>0</v>
      </c>
      <c r="BP332">
        <v>0</v>
      </c>
      <c r="BQ332">
        <v>0</v>
      </c>
      <c r="BR332">
        <v>0</v>
      </c>
      <c r="BS332">
        <v>0</v>
      </c>
      <c r="BT332" t="s">
        <v>271</v>
      </c>
      <c r="BU332">
        <v>100</v>
      </c>
      <c r="BV332">
        <v>0</v>
      </c>
      <c r="BW332" t="s">
        <v>268</v>
      </c>
      <c r="BX332" t="s">
        <v>272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100</v>
      </c>
      <c r="CE332">
        <v>0</v>
      </c>
      <c r="CF332">
        <v>0</v>
      </c>
      <c r="CG332">
        <v>0</v>
      </c>
      <c r="CH332">
        <v>0</v>
      </c>
      <c r="CI332">
        <v>0</v>
      </c>
      <c r="CJ332" t="s">
        <v>273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100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100</v>
      </c>
      <c r="CW332" t="s">
        <v>274</v>
      </c>
      <c r="CX332" t="s">
        <v>268</v>
      </c>
      <c r="CY332">
        <v>0</v>
      </c>
    </row>
    <row r="333" spans="5:103" x14ac:dyDescent="0.2">
      <c r="E333">
        <v>0</v>
      </c>
      <c r="F333" t="s">
        <v>155</v>
      </c>
      <c r="G333">
        <v>0</v>
      </c>
      <c r="H333" t="s">
        <v>155</v>
      </c>
      <c r="AL333">
        <v>0</v>
      </c>
      <c r="AM333">
        <v>0.3</v>
      </c>
      <c r="AN333">
        <v>0.3</v>
      </c>
      <c r="AO333">
        <v>0.4</v>
      </c>
      <c r="AP333" t="s">
        <v>268</v>
      </c>
      <c r="AQ333">
        <v>0.3</v>
      </c>
      <c r="AR333">
        <v>0.3</v>
      </c>
      <c r="AS333">
        <v>0.2</v>
      </c>
      <c r="AT333">
        <v>0.2</v>
      </c>
      <c r="AU333" t="s">
        <v>268</v>
      </c>
      <c r="AV333" t="s">
        <v>34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100</v>
      </c>
      <c r="BC333">
        <v>0</v>
      </c>
      <c r="BD333">
        <v>0</v>
      </c>
      <c r="BE333">
        <v>0</v>
      </c>
      <c r="BF333">
        <v>0</v>
      </c>
      <c r="BG333">
        <v>0</v>
      </c>
      <c r="BH333" t="s">
        <v>270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100</v>
      </c>
      <c r="BO333">
        <v>0</v>
      </c>
      <c r="BP333">
        <v>0</v>
      </c>
      <c r="BQ333">
        <v>0</v>
      </c>
      <c r="BR333">
        <v>0</v>
      </c>
      <c r="BS333">
        <v>0</v>
      </c>
      <c r="BT333" t="s">
        <v>271</v>
      </c>
      <c r="BU333">
        <v>100</v>
      </c>
      <c r="BV333">
        <v>0</v>
      </c>
      <c r="BW333" t="s">
        <v>268</v>
      </c>
      <c r="BX333" t="s">
        <v>272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100</v>
      </c>
      <c r="CE333">
        <v>0</v>
      </c>
      <c r="CF333">
        <v>0</v>
      </c>
      <c r="CG333">
        <v>0</v>
      </c>
      <c r="CH333">
        <v>0</v>
      </c>
      <c r="CI333">
        <v>0</v>
      </c>
      <c r="CJ333" t="s">
        <v>273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100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100</v>
      </c>
      <c r="CW333" t="s">
        <v>274</v>
      </c>
      <c r="CX333" t="s">
        <v>268</v>
      </c>
      <c r="CY333">
        <v>0</v>
      </c>
    </row>
    <row r="334" spans="5:103" x14ac:dyDescent="0.2">
      <c r="E334">
        <v>0</v>
      </c>
      <c r="F334" t="s">
        <v>155</v>
      </c>
      <c r="G334">
        <v>0</v>
      </c>
      <c r="H334" t="s">
        <v>155</v>
      </c>
      <c r="AL334">
        <v>0</v>
      </c>
      <c r="AM334">
        <v>0.3</v>
      </c>
      <c r="AN334">
        <v>0.3</v>
      </c>
      <c r="AO334">
        <v>0.4</v>
      </c>
      <c r="AP334" t="s">
        <v>268</v>
      </c>
      <c r="AQ334">
        <v>0.3</v>
      </c>
      <c r="AR334">
        <v>0.3</v>
      </c>
      <c r="AS334">
        <v>0.2</v>
      </c>
      <c r="AT334">
        <v>0.2</v>
      </c>
      <c r="AU334" t="s">
        <v>268</v>
      </c>
      <c r="AV334" t="s">
        <v>34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100</v>
      </c>
      <c r="BC334">
        <v>0</v>
      </c>
      <c r="BD334">
        <v>0</v>
      </c>
      <c r="BE334">
        <v>0</v>
      </c>
      <c r="BF334">
        <v>0</v>
      </c>
      <c r="BG334">
        <v>0</v>
      </c>
      <c r="BH334" t="s">
        <v>270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100</v>
      </c>
      <c r="BO334">
        <v>0</v>
      </c>
      <c r="BP334">
        <v>0</v>
      </c>
      <c r="BQ334">
        <v>0</v>
      </c>
      <c r="BR334">
        <v>0</v>
      </c>
      <c r="BS334">
        <v>0</v>
      </c>
      <c r="BT334" t="s">
        <v>271</v>
      </c>
      <c r="BU334">
        <v>100</v>
      </c>
      <c r="BV334">
        <v>0</v>
      </c>
      <c r="BW334" t="s">
        <v>268</v>
      </c>
      <c r="BX334" t="s">
        <v>272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100</v>
      </c>
      <c r="CE334">
        <v>0</v>
      </c>
      <c r="CF334">
        <v>0</v>
      </c>
      <c r="CG334">
        <v>0</v>
      </c>
      <c r="CH334">
        <v>0</v>
      </c>
      <c r="CI334">
        <v>0</v>
      </c>
      <c r="CJ334" t="s">
        <v>273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100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100</v>
      </c>
      <c r="CW334" t="s">
        <v>274</v>
      </c>
      <c r="CX334" t="s">
        <v>268</v>
      </c>
      <c r="CY334">
        <v>0</v>
      </c>
    </row>
    <row r="335" spans="5:103" x14ac:dyDescent="0.2">
      <c r="E335">
        <v>0</v>
      </c>
      <c r="F335" t="s">
        <v>155</v>
      </c>
      <c r="G335">
        <v>0</v>
      </c>
      <c r="H335" t="s">
        <v>155</v>
      </c>
      <c r="AL335">
        <v>0</v>
      </c>
      <c r="AM335">
        <v>0.3</v>
      </c>
      <c r="AN335">
        <v>0.3</v>
      </c>
      <c r="AO335">
        <v>0.4</v>
      </c>
      <c r="AP335" t="s">
        <v>268</v>
      </c>
      <c r="AQ335">
        <v>0.3</v>
      </c>
      <c r="AR335">
        <v>0.3</v>
      </c>
      <c r="AS335">
        <v>0.2</v>
      </c>
      <c r="AT335">
        <v>0.2</v>
      </c>
      <c r="AU335" t="s">
        <v>268</v>
      </c>
      <c r="AV335" t="s">
        <v>34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100</v>
      </c>
      <c r="BC335">
        <v>0</v>
      </c>
      <c r="BD335">
        <v>0</v>
      </c>
      <c r="BE335">
        <v>0</v>
      </c>
      <c r="BF335">
        <v>0</v>
      </c>
      <c r="BG335">
        <v>0</v>
      </c>
      <c r="BH335" t="s">
        <v>270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100</v>
      </c>
      <c r="BO335">
        <v>0</v>
      </c>
      <c r="BP335">
        <v>0</v>
      </c>
      <c r="BQ335">
        <v>0</v>
      </c>
      <c r="BR335">
        <v>0</v>
      </c>
      <c r="BS335">
        <v>0</v>
      </c>
      <c r="BT335" t="s">
        <v>271</v>
      </c>
      <c r="BU335">
        <v>100</v>
      </c>
      <c r="BV335">
        <v>0</v>
      </c>
      <c r="BW335" t="s">
        <v>268</v>
      </c>
      <c r="BX335" t="s">
        <v>272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100</v>
      </c>
      <c r="CE335">
        <v>0</v>
      </c>
      <c r="CF335">
        <v>0</v>
      </c>
      <c r="CG335">
        <v>0</v>
      </c>
      <c r="CH335">
        <v>0</v>
      </c>
      <c r="CI335">
        <v>0</v>
      </c>
      <c r="CJ335" t="s">
        <v>273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100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100</v>
      </c>
      <c r="CW335" t="s">
        <v>274</v>
      </c>
      <c r="CX335" t="s">
        <v>268</v>
      </c>
      <c r="CY335">
        <v>0</v>
      </c>
    </row>
    <row r="336" spans="5:103" x14ac:dyDescent="0.2">
      <c r="E336">
        <v>0</v>
      </c>
      <c r="F336" t="s">
        <v>155</v>
      </c>
      <c r="G336">
        <v>0</v>
      </c>
      <c r="H336" t="s">
        <v>155</v>
      </c>
      <c r="AL336">
        <v>0</v>
      </c>
      <c r="AM336">
        <v>0.3</v>
      </c>
      <c r="AN336">
        <v>0.3</v>
      </c>
      <c r="AO336">
        <v>0.4</v>
      </c>
      <c r="AP336" t="s">
        <v>268</v>
      </c>
      <c r="AQ336">
        <v>0.3</v>
      </c>
      <c r="AR336">
        <v>0.3</v>
      </c>
      <c r="AS336">
        <v>0.2</v>
      </c>
      <c r="AT336">
        <v>0.2</v>
      </c>
      <c r="AU336" t="s">
        <v>268</v>
      </c>
      <c r="AV336" t="s">
        <v>34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100</v>
      </c>
      <c r="BC336">
        <v>0</v>
      </c>
      <c r="BD336">
        <v>0</v>
      </c>
      <c r="BE336">
        <v>0</v>
      </c>
      <c r="BF336">
        <v>0</v>
      </c>
      <c r="BG336">
        <v>0</v>
      </c>
      <c r="BH336" t="s">
        <v>270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100</v>
      </c>
      <c r="BO336">
        <v>0</v>
      </c>
      <c r="BP336">
        <v>0</v>
      </c>
      <c r="BQ336">
        <v>0</v>
      </c>
      <c r="BR336">
        <v>0</v>
      </c>
      <c r="BS336">
        <v>0</v>
      </c>
      <c r="BT336" t="s">
        <v>271</v>
      </c>
      <c r="BU336">
        <v>100</v>
      </c>
      <c r="BV336">
        <v>0</v>
      </c>
      <c r="BW336" t="s">
        <v>268</v>
      </c>
      <c r="BX336" t="s">
        <v>272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100</v>
      </c>
      <c r="CE336">
        <v>0</v>
      </c>
      <c r="CF336">
        <v>0</v>
      </c>
      <c r="CG336">
        <v>0</v>
      </c>
      <c r="CH336">
        <v>0</v>
      </c>
      <c r="CI336">
        <v>0</v>
      </c>
      <c r="CJ336" t="s">
        <v>273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100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100</v>
      </c>
      <c r="CW336" t="s">
        <v>274</v>
      </c>
      <c r="CX336" t="s">
        <v>268</v>
      </c>
      <c r="CY336">
        <v>0</v>
      </c>
    </row>
    <row r="337" spans="5:103" x14ac:dyDescent="0.2">
      <c r="E337">
        <v>0</v>
      </c>
      <c r="F337" t="s">
        <v>155</v>
      </c>
      <c r="G337">
        <v>0</v>
      </c>
      <c r="H337" t="s">
        <v>155</v>
      </c>
      <c r="AL337">
        <v>0</v>
      </c>
      <c r="AM337">
        <v>0.3</v>
      </c>
      <c r="AN337">
        <v>0.3</v>
      </c>
      <c r="AO337">
        <v>0.4</v>
      </c>
      <c r="AP337" t="s">
        <v>268</v>
      </c>
      <c r="AQ337">
        <v>0.3</v>
      </c>
      <c r="AR337">
        <v>0.3</v>
      </c>
      <c r="AS337">
        <v>0.2</v>
      </c>
      <c r="AT337">
        <v>0.2</v>
      </c>
      <c r="AU337" t="s">
        <v>268</v>
      </c>
      <c r="AV337" t="s">
        <v>34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100</v>
      </c>
      <c r="BC337">
        <v>0</v>
      </c>
      <c r="BD337">
        <v>0</v>
      </c>
      <c r="BE337">
        <v>0</v>
      </c>
      <c r="BF337">
        <v>0</v>
      </c>
      <c r="BG337">
        <v>0</v>
      </c>
      <c r="BH337" t="s">
        <v>270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100</v>
      </c>
      <c r="BO337">
        <v>0</v>
      </c>
      <c r="BP337">
        <v>0</v>
      </c>
      <c r="BQ337">
        <v>0</v>
      </c>
      <c r="BR337">
        <v>0</v>
      </c>
      <c r="BS337">
        <v>0</v>
      </c>
      <c r="BT337" t="s">
        <v>271</v>
      </c>
      <c r="BU337">
        <v>100</v>
      </c>
      <c r="BV337">
        <v>0</v>
      </c>
      <c r="BW337" t="s">
        <v>268</v>
      </c>
      <c r="BX337" t="s">
        <v>272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100</v>
      </c>
      <c r="CE337">
        <v>0</v>
      </c>
      <c r="CF337">
        <v>0</v>
      </c>
      <c r="CG337">
        <v>0</v>
      </c>
      <c r="CH337">
        <v>0</v>
      </c>
      <c r="CI337">
        <v>0</v>
      </c>
      <c r="CJ337" t="s">
        <v>273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100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100</v>
      </c>
      <c r="CW337" t="s">
        <v>274</v>
      </c>
      <c r="CX337" t="s">
        <v>268</v>
      </c>
      <c r="CY337">
        <v>0</v>
      </c>
    </row>
    <row r="338" spans="5:103" x14ac:dyDescent="0.2">
      <c r="E338">
        <v>0</v>
      </c>
      <c r="F338" t="s">
        <v>155</v>
      </c>
      <c r="G338">
        <v>0</v>
      </c>
      <c r="H338" t="s">
        <v>155</v>
      </c>
      <c r="AL338">
        <v>0</v>
      </c>
      <c r="AM338">
        <v>0.3</v>
      </c>
      <c r="AN338">
        <v>0.3</v>
      </c>
      <c r="AO338">
        <v>0.4</v>
      </c>
      <c r="AP338" t="s">
        <v>268</v>
      </c>
      <c r="AQ338">
        <v>0.3</v>
      </c>
      <c r="AR338">
        <v>0.3</v>
      </c>
      <c r="AS338">
        <v>0.2</v>
      </c>
      <c r="AT338">
        <v>0.2</v>
      </c>
      <c r="AU338" t="s">
        <v>268</v>
      </c>
      <c r="AV338" t="s">
        <v>34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100</v>
      </c>
      <c r="BC338">
        <v>0</v>
      </c>
      <c r="BD338">
        <v>0</v>
      </c>
      <c r="BE338">
        <v>0</v>
      </c>
      <c r="BF338">
        <v>0</v>
      </c>
      <c r="BG338">
        <v>0</v>
      </c>
      <c r="BH338" t="s">
        <v>270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100</v>
      </c>
      <c r="BO338">
        <v>0</v>
      </c>
      <c r="BP338">
        <v>0</v>
      </c>
      <c r="BQ338">
        <v>0</v>
      </c>
      <c r="BR338">
        <v>0</v>
      </c>
      <c r="BS338">
        <v>0</v>
      </c>
      <c r="BT338" t="s">
        <v>271</v>
      </c>
      <c r="BU338">
        <v>100</v>
      </c>
      <c r="BV338">
        <v>0</v>
      </c>
      <c r="BW338" t="s">
        <v>268</v>
      </c>
      <c r="BX338" t="s">
        <v>272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100</v>
      </c>
      <c r="CE338">
        <v>0</v>
      </c>
      <c r="CF338">
        <v>0</v>
      </c>
      <c r="CG338">
        <v>0</v>
      </c>
      <c r="CH338">
        <v>0</v>
      </c>
      <c r="CI338">
        <v>0</v>
      </c>
      <c r="CJ338" t="s">
        <v>273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100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100</v>
      </c>
      <c r="CW338" t="s">
        <v>274</v>
      </c>
      <c r="CX338" t="s">
        <v>268</v>
      </c>
      <c r="CY338">
        <v>0</v>
      </c>
    </row>
    <row r="339" spans="5:103" x14ac:dyDescent="0.2">
      <c r="E339">
        <v>0</v>
      </c>
      <c r="F339" t="s">
        <v>155</v>
      </c>
      <c r="G339">
        <v>0</v>
      </c>
      <c r="H339" t="s">
        <v>155</v>
      </c>
      <c r="AL339">
        <v>0</v>
      </c>
      <c r="AM339">
        <v>0.3</v>
      </c>
      <c r="AN339">
        <v>0.3</v>
      </c>
      <c r="AO339">
        <v>0.4</v>
      </c>
      <c r="AP339" t="s">
        <v>268</v>
      </c>
      <c r="AQ339">
        <v>0.3</v>
      </c>
      <c r="AR339">
        <v>0.3</v>
      </c>
      <c r="AS339">
        <v>0.2</v>
      </c>
      <c r="AT339">
        <v>0.2</v>
      </c>
      <c r="AU339" t="s">
        <v>268</v>
      </c>
      <c r="AV339" t="s">
        <v>34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100</v>
      </c>
      <c r="BC339">
        <v>0</v>
      </c>
      <c r="BD339">
        <v>0</v>
      </c>
      <c r="BE339">
        <v>0</v>
      </c>
      <c r="BF339">
        <v>0</v>
      </c>
      <c r="BG339">
        <v>0</v>
      </c>
      <c r="BH339" t="s">
        <v>270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100</v>
      </c>
      <c r="BO339">
        <v>0</v>
      </c>
      <c r="BP339">
        <v>0</v>
      </c>
      <c r="BQ339">
        <v>0</v>
      </c>
      <c r="BR339">
        <v>0</v>
      </c>
      <c r="BS339">
        <v>0</v>
      </c>
      <c r="BT339" t="s">
        <v>271</v>
      </c>
      <c r="BU339">
        <v>100</v>
      </c>
      <c r="BV339">
        <v>0</v>
      </c>
      <c r="BW339" t="s">
        <v>268</v>
      </c>
      <c r="BX339" t="s">
        <v>272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100</v>
      </c>
      <c r="CE339">
        <v>0</v>
      </c>
      <c r="CF339">
        <v>0</v>
      </c>
      <c r="CG339">
        <v>0</v>
      </c>
      <c r="CH339">
        <v>0</v>
      </c>
      <c r="CI339">
        <v>0</v>
      </c>
      <c r="CJ339" t="s">
        <v>273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100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100</v>
      </c>
      <c r="CW339" t="s">
        <v>274</v>
      </c>
      <c r="CX339" t="s">
        <v>268</v>
      </c>
      <c r="CY339">
        <v>0</v>
      </c>
    </row>
    <row r="340" spans="5:103" x14ac:dyDescent="0.2">
      <c r="E340">
        <v>0</v>
      </c>
      <c r="F340" t="s">
        <v>155</v>
      </c>
      <c r="G340">
        <v>0</v>
      </c>
      <c r="H340" t="s">
        <v>155</v>
      </c>
      <c r="AL340">
        <v>0</v>
      </c>
      <c r="AM340">
        <v>0.3</v>
      </c>
      <c r="AN340">
        <v>0.3</v>
      </c>
      <c r="AO340">
        <v>0.4</v>
      </c>
      <c r="AP340" t="s">
        <v>268</v>
      </c>
      <c r="AQ340">
        <v>0.3</v>
      </c>
      <c r="AR340">
        <v>0.3</v>
      </c>
      <c r="AS340">
        <v>0.2</v>
      </c>
      <c r="AT340">
        <v>0.2</v>
      </c>
      <c r="AU340" t="s">
        <v>268</v>
      </c>
      <c r="AV340" t="s">
        <v>34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100</v>
      </c>
      <c r="BC340">
        <v>0</v>
      </c>
      <c r="BD340">
        <v>0</v>
      </c>
      <c r="BE340">
        <v>0</v>
      </c>
      <c r="BF340">
        <v>0</v>
      </c>
      <c r="BG340">
        <v>0</v>
      </c>
      <c r="BH340" t="s">
        <v>270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100</v>
      </c>
      <c r="BO340">
        <v>0</v>
      </c>
      <c r="BP340">
        <v>0</v>
      </c>
      <c r="BQ340">
        <v>0</v>
      </c>
      <c r="BR340">
        <v>0</v>
      </c>
      <c r="BS340">
        <v>0</v>
      </c>
      <c r="BT340" t="s">
        <v>271</v>
      </c>
      <c r="BU340">
        <v>100</v>
      </c>
      <c r="BV340">
        <v>0</v>
      </c>
      <c r="BW340" t="s">
        <v>268</v>
      </c>
      <c r="BX340" t="s">
        <v>272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100</v>
      </c>
      <c r="CE340">
        <v>0</v>
      </c>
      <c r="CF340">
        <v>0</v>
      </c>
      <c r="CG340">
        <v>0</v>
      </c>
      <c r="CH340">
        <v>0</v>
      </c>
      <c r="CI340">
        <v>0</v>
      </c>
      <c r="CJ340" t="s">
        <v>273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100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100</v>
      </c>
      <c r="CW340" t="s">
        <v>274</v>
      </c>
      <c r="CX340" t="s">
        <v>268</v>
      </c>
      <c r="CY340">
        <v>0</v>
      </c>
    </row>
    <row r="341" spans="5:103" x14ac:dyDescent="0.2">
      <c r="E341">
        <v>0</v>
      </c>
      <c r="F341" t="s">
        <v>155</v>
      </c>
      <c r="G341">
        <v>0</v>
      </c>
      <c r="H341" t="s">
        <v>155</v>
      </c>
      <c r="AL341">
        <v>0</v>
      </c>
      <c r="AM341">
        <v>0.3</v>
      </c>
      <c r="AN341">
        <v>0.3</v>
      </c>
      <c r="AO341">
        <v>0.4</v>
      </c>
      <c r="AP341" t="s">
        <v>268</v>
      </c>
      <c r="AQ341">
        <v>0.3</v>
      </c>
      <c r="AR341">
        <v>0.3</v>
      </c>
      <c r="AS341">
        <v>0.2</v>
      </c>
      <c r="AT341">
        <v>0.2</v>
      </c>
      <c r="AU341" t="s">
        <v>268</v>
      </c>
      <c r="AV341" t="s">
        <v>34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100</v>
      </c>
      <c r="BC341">
        <v>0</v>
      </c>
      <c r="BD341">
        <v>0</v>
      </c>
      <c r="BE341">
        <v>0</v>
      </c>
      <c r="BF341">
        <v>0</v>
      </c>
      <c r="BG341">
        <v>0</v>
      </c>
      <c r="BH341" t="s">
        <v>270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100</v>
      </c>
      <c r="BO341">
        <v>0</v>
      </c>
      <c r="BP341">
        <v>0</v>
      </c>
      <c r="BQ341">
        <v>0</v>
      </c>
      <c r="BR341">
        <v>0</v>
      </c>
      <c r="BS341">
        <v>0</v>
      </c>
      <c r="BT341" t="s">
        <v>271</v>
      </c>
      <c r="BU341">
        <v>100</v>
      </c>
      <c r="BV341">
        <v>0</v>
      </c>
      <c r="BW341" t="s">
        <v>268</v>
      </c>
      <c r="BX341" t="s">
        <v>272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100</v>
      </c>
      <c r="CE341">
        <v>0</v>
      </c>
      <c r="CF341">
        <v>0</v>
      </c>
      <c r="CG341">
        <v>0</v>
      </c>
      <c r="CH341">
        <v>0</v>
      </c>
      <c r="CI341">
        <v>0</v>
      </c>
      <c r="CJ341" t="s">
        <v>273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100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100</v>
      </c>
      <c r="CW341" t="s">
        <v>274</v>
      </c>
      <c r="CX341" t="s">
        <v>268</v>
      </c>
      <c r="CY341">
        <v>0</v>
      </c>
    </row>
    <row r="342" spans="5:103" x14ac:dyDescent="0.2">
      <c r="E342">
        <v>0</v>
      </c>
      <c r="F342" t="s">
        <v>155</v>
      </c>
      <c r="G342">
        <v>0</v>
      </c>
      <c r="H342" t="s">
        <v>155</v>
      </c>
      <c r="AL342">
        <v>0</v>
      </c>
      <c r="AM342">
        <v>0.3</v>
      </c>
      <c r="AN342">
        <v>0.3</v>
      </c>
      <c r="AO342">
        <v>0.4</v>
      </c>
      <c r="AP342" t="s">
        <v>268</v>
      </c>
      <c r="AQ342">
        <v>0.3</v>
      </c>
      <c r="AR342">
        <v>0.3</v>
      </c>
      <c r="AS342">
        <v>0.2</v>
      </c>
      <c r="AT342">
        <v>0.2</v>
      </c>
      <c r="AU342" t="s">
        <v>268</v>
      </c>
      <c r="AV342" t="s">
        <v>34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100</v>
      </c>
      <c r="BC342">
        <v>0</v>
      </c>
      <c r="BD342">
        <v>0</v>
      </c>
      <c r="BE342">
        <v>0</v>
      </c>
      <c r="BF342">
        <v>0</v>
      </c>
      <c r="BG342">
        <v>0</v>
      </c>
      <c r="BH342" t="s">
        <v>270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100</v>
      </c>
      <c r="BO342">
        <v>0</v>
      </c>
      <c r="BP342">
        <v>0</v>
      </c>
      <c r="BQ342">
        <v>0</v>
      </c>
      <c r="BR342">
        <v>0</v>
      </c>
      <c r="BS342">
        <v>0</v>
      </c>
      <c r="BT342" t="s">
        <v>271</v>
      </c>
      <c r="BU342">
        <v>100</v>
      </c>
      <c r="BV342">
        <v>0</v>
      </c>
      <c r="BW342" t="s">
        <v>268</v>
      </c>
      <c r="BX342" t="s">
        <v>272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100</v>
      </c>
      <c r="CE342">
        <v>0</v>
      </c>
      <c r="CF342">
        <v>0</v>
      </c>
      <c r="CG342">
        <v>0</v>
      </c>
      <c r="CH342">
        <v>0</v>
      </c>
      <c r="CI342">
        <v>0</v>
      </c>
      <c r="CJ342" t="s">
        <v>273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100</v>
      </c>
      <c r="CQ342">
        <v>0</v>
      </c>
      <c r="CR342">
        <v>0</v>
      </c>
      <c r="CS342">
        <v>0</v>
      </c>
      <c r="CT342">
        <v>0</v>
      </c>
      <c r="CU342">
        <v>0</v>
      </c>
      <c r="CV342">
        <v>100</v>
      </c>
      <c r="CW342" t="s">
        <v>274</v>
      </c>
      <c r="CX342" t="s">
        <v>268</v>
      </c>
      <c r="CY342">
        <v>0</v>
      </c>
    </row>
    <row r="343" spans="5:103" x14ac:dyDescent="0.2">
      <c r="E343">
        <v>0</v>
      </c>
      <c r="F343" t="s">
        <v>155</v>
      </c>
      <c r="G343">
        <v>0</v>
      </c>
      <c r="H343" t="s">
        <v>155</v>
      </c>
      <c r="AL343">
        <v>0</v>
      </c>
      <c r="AM343">
        <v>0.3</v>
      </c>
      <c r="AN343">
        <v>0.3</v>
      </c>
      <c r="AO343">
        <v>0.4</v>
      </c>
      <c r="AP343" t="s">
        <v>268</v>
      </c>
      <c r="AQ343">
        <v>0.3</v>
      </c>
      <c r="AR343">
        <v>0.3</v>
      </c>
      <c r="AS343">
        <v>0.2</v>
      </c>
      <c r="AT343">
        <v>0.2</v>
      </c>
      <c r="AU343" t="s">
        <v>268</v>
      </c>
      <c r="AV343" t="s">
        <v>34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100</v>
      </c>
      <c r="BC343">
        <v>0</v>
      </c>
      <c r="BD343">
        <v>0</v>
      </c>
      <c r="BE343">
        <v>0</v>
      </c>
      <c r="BF343">
        <v>0</v>
      </c>
      <c r="BG343">
        <v>0</v>
      </c>
      <c r="BH343" t="s">
        <v>270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100</v>
      </c>
      <c r="BO343">
        <v>0</v>
      </c>
      <c r="BP343">
        <v>0</v>
      </c>
      <c r="BQ343">
        <v>0</v>
      </c>
      <c r="BR343">
        <v>0</v>
      </c>
      <c r="BS343">
        <v>0</v>
      </c>
      <c r="BT343" t="s">
        <v>271</v>
      </c>
      <c r="BU343">
        <v>100</v>
      </c>
      <c r="BV343">
        <v>0</v>
      </c>
      <c r="BW343" t="s">
        <v>268</v>
      </c>
      <c r="BX343" t="s">
        <v>272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100</v>
      </c>
      <c r="CE343">
        <v>0</v>
      </c>
      <c r="CF343">
        <v>0</v>
      </c>
      <c r="CG343">
        <v>0</v>
      </c>
      <c r="CH343">
        <v>0</v>
      </c>
      <c r="CI343">
        <v>0</v>
      </c>
      <c r="CJ343" t="s">
        <v>273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100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100</v>
      </c>
      <c r="CW343" t="s">
        <v>274</v>
      </c>
      <c r="CX343" t="s">
        <v>268</v>
      </c>
      <c r="CY343">
        <v>0</v>
      </c>
    </row>
    <row r="344" spans="5:103" x14ac:dyDescent="0.2">
      <c r="E344">
        <v>0</v>
      </c>
      <c r="F344" t="s">
        <v>155</v>
      </c>
      <c r="G344">
        <v>0</v>
      </c>
      <c r="H344" t="s">
        <v>155</v>
      </c>
      <c r="AL344">
        <v>0</v>
      </c>
      <c r="AM344">
        <v>0.3</v>
      </c>
      <c r="AN344">
        <v>0.3</v>
      </c>
      <c r="AO344">
        <v>0.4</v>
      </c>
      <c r="AP344" t="s">
        <v>268</v>
      </c>
      <c r="AQ344">
        <v>0.3</v>
      </c>
      <c r="AR344">
        <v>0.3</v>
      </c>
      <c r="AS344">
        <v>0.2</v>
      </c>
      <c r="AT344">
        <v>0.2</v>
      </c>
      <c r="AU344" t="s">
        <v>268</v>
      </c>
      <c r="AV344" t="s">
        <v>34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100</v>
      </c>
      <c r="BC344">
        <v>0</v>
      </c>
      <c r="BD344">
        <v>0</v>
      </c>
      <c r="BE344">
        <v>0</v>
      </c>
      <c r="BF344">
        <v>0</v>
      </c>
      <c r="BG344">
        <v>0</v>
      </c>
      <c r="BH344" t="s">
        <v>270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100</v>
      </c>
      <c r="BO344">
        <v>0</v>
      </c>
      <c r="BP344">
        <v>0</v>
      </c>
      <c r="BQ344">
        <v>0</v>
      </c>
      <c r="BR344">
        <v>0</v>
      </c>
      <c r="BS344">
        <v>0</v>
      </c>
      <c r="BT344" t="s">
        <v>271</v>
      </c>
      <c r="BU344">
        <v>100</v>
      </c>
      <c r="BV344">
        <v>0</v>
      </c>
      <c r="BW344" t="s">
        <v>268</v>
      </c>
      <c r="BX344" t="s">
        <v>272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100</v>
      </c>
      <c r="CE344">
        <v>0</v>
      </c>
      <c r="CF344">
        <v>0</v>
      </c>
      <c r="CG344">
        <v>0</v>
      </c>
      <c r="CH344">
        <v>0</v>
      </c>
      <c r="CI344">
        <v>0</v>
      </c>
      <c r="CJ344" t="s">
        <v>273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100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100</v>
      </c>
      <c r="CW344" t="s">
        <v>274</v>
      </c>
      <c r="CX344" t="s">
        <v>268</v>
      </c>
      <c r="CY344">
        <v>0</v>
      </c>
    </row>
    <row r="345" spans="5:103" x14ac:dyDescent="0.2">
      <c r="E345">
        <v>0</v>
      </c>
      <c r="F345" t="s">
        <v>155</v>
      </c>
      <c r="G345">
        <v>0</v>
      </c>
      <c r="H345" t="s">
        <v>155</v>
      </c>
      <c r="AL345">
        <v>0</v>
      </c>
      <c r="AM345">
        <v>0.3</v>
      </c>
      <c r="AN345">
        <v>0.3</v>
      </c>
      <c r="AO345">
        <v>0.4</v>
      </c>
      <c r="AP345" t="s">
        <v>268</v>
      </c>
      <c r="AQ345">
        <v>0.3</v>
      </c>
      <c r="AR345">
        <v>0.3</v>
      </c>
      <c r="AS345">
        <v>0.2</v>
      </c>
      <c r="AT345">
        <v>0.2</v>
      </c>
      <c r="AU345" t="s">
        <v>268</v>
      </c>
      <c r="AV345" t="s">
        <v>34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100</v>
      </c>
      <c r="BC345">
        <v>0</v>
      </c>
      <c r="BD345">
        <v>0</v>
      </c>
      <c r="BE345">
        <v>0</v>
      </c>
      <c r="BF345">
        <v>0</v>
      </c>
      <c r="BG345">
        <v>0</v>
      </c>
      <c r="BH345" t="s">
        <v>270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100</v>
      </c>
      <c r="BO345">
        <v>0</v>
      </c>
      <c r="BP345">
        <v>0</v>
      </c>
      <c r="BQ345">
        <v>0</v>
      </c>
      <c r="BR345">
        <v>0</v>
      </c>
      <c r="BS345">
        <v>0</v>
      </c>
      <c r="BT345" t="s">
        <v>271</v>
      </c>
      <c r="BU345">
        <v>100</v>
      </c>
      <c r="BV345">
        <v>0</v>
      </c>
      <c r="BW345" t="s">
        <v>268</v>
      </c>
      <c r="BX345" t="s">
        <v>272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100</v>
      </c>
      <c r="CE345">
        <v>0</v>
      </c>
      <c r="CF345">
        <v>0</v>
      </c>
      <c r="CG345">
        <v>0</v>
      </c>
      <c r="CH345">
        <v>0</v>
      </c>
      <c r="CI345">
        <v>0</v>
      </c>
      <c r="CJ345" t="s">
        <v>273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100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100</v>
      </c>
      <c r="CW345" t="s">
        <v>274</v>
      </c>
      <c r="CX345" t="s">
        <v>268</v>
      </c>
      <c r="CY345">
        <v>0</v>
      </c>
    </row>
    <row r="346" spans="5:103" x14ac:dyDescent="0.2">
      <c r="E346">
        <v>0</v>
      </c>
      <c r="F346" t="s">
        <v>155</v>
      </c>
      <c r="G346">
        <v>0</v>
      </c>
      <c r="H346" t="s">
        <v>155</v>
      </c>
      <c r="AL346">
        <v>0</v>
      </c>
      <c r="AM346">
        <v>0.3</v>
      </c>
      <c r="AN346">
        <v>0.3</v>
      </c>
      <c r="AO346">
        <v>0.4</v>
      </c>
      <c r="AP346" t="s">
        <v>268</v>
      </c>
      <c r="AQ346">
        <v>0.3</v>
      </c>
      <c r="AR346">
        <v>0.3</v>
      </c>
      <c r="AS346">
        <v>0.2</v>
      </c>
      <c r="AT346">
        <v>0.2</v>
      </c>
      <c r="AU346" t="s">
        <v>268</v>
      </c>
      <c r="AV346" t="s">
        <v>34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100</v>
      </c>
      <c r="BC346">
        <v>0</v>
      </c>
      <c r="BD346">
        <v>0</v>
      </c>
      <c r="BE346">
        <v>0</v>
      </c>
      <c r="BF346">
        <v>0</v>
      </c>
      <c r="BG346">
        <v>0</v>
      </c>
      <c r="BH346" t="s">
        <v>270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100</v>
      </c>
      <c r="BO346">
        <v>0</v>
      </c>
      <c r="BP346">
        <v>0</v>
      </c>
      <c r="BQ346">
        <v>0</v>
      </c>
      <c r="BR346">
        <v>0</v>
      </c>
      <c r="BS346">
        <v>0</v>
      </c>
      <c r="BT346" t="s">
        <v>271</v>
      </c>
      <c r="BU346">
        <v>100</v>
      </c>
      <c r="BV346">
        <v>0</v>
      </c>
      <c r="BW346" t="s">
        <v>268</v>
      </c>
      <c r="BX346" t="s">
        <v>272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100</v>
      </c>
      <c r="CE346">
        <v>0</v>
      </c>
      <c r="CF346">
        <v>0</v>
      </c>
      <c r="CG346">
        <v>0</v>
      </c>
      <c r="CH346">
        <v>0</v>
      </c>
      <c r="CI346">
        <v>0</v>
      </c>
      <c r="CJ346" t="s">
        <v>273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100</v>
      </c>
      <c r="CQ346">
        <v>0</v>
      </c>
      <c r="CR346">
        <v>0</v>
      </c>
      <c r="CS346">
        <v>0</v>
      </c>
      <c r="CT346">
        <v>0</v>
      </c>
      <c r="CU346">
        <v>0</v>
      </c>
      <c r="CV346">
        <v>100</v>
      </c>
      <c r="CW346" t="s">
        <v>274</v>
      </c>
      <c r="CX346" t="s">
        <v>268</v>
      </c>
      <c r="CY346">
        <v>0</v>
      </c>
    </row>
    <row r="347" spans="5:103" x14ac:dyDescent="0.2">
      <c r="E347">
        <v>0</v>
      </c>
      <c r="F347" t="s">
        <v>155</v>
      </c>
      <c r="G347">
        <v>0</v>
      </c>
      <c r="H347" t="s">
        <v>155</v>
      </c>
      <c r="AL347">
        <v>0</v>
      </c>
      <c r="AM347">
        <v>0.3</v>
      </c>
      <c r="AN347">
        <v>0.3</v>
      </c>
      <c r="AO347">
        <v>0.4</v>
      </c>
      <c r="AP347" t="s">
        <v>268</v>
      </c>
      <c r="AQ347">
        <v>0.3</v>
      </c>
      <c r="AR347">
        <v>0.3</v>
      </c>
      <c r="AS347">
        <v>0.2</v>
      </c>
      <c r="AT347">
        <v>0.2</v>
      </c>
      <c r="AU347" t="s">
        <v>268</v>
      </c>
      <c r="AV347" t="s">
        <v>34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100</v>
      </c>
      <c r="BC347">
        <v>0</v>
      </c>
      <c r="BD347">
        <v>0</v>
      </c>
      <c r="BE347">
        <v>0</v>
      </c>
      <c r="BF347">
        <v>0</v>
      </c>
      <c r="BG347">
        <v>0</v>
      </c>
      <c r="BH347" t="s">
        <v>270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100</v>
      </c>
      <c r="BO347">
        <v>0</v>
      </c>
      <c r="BP347">
        <v>0</v>
      </c>
      <c r="BQ347">
        <v>0</v>
      </c>
      <c r="BR347">
        <v>0</v>
      </c>
      <c r="BS347">
        <v>0</v>
      </c>
      <c r="BT347" t="s">
        <v>271</v>
      </c>
      <c r="BU347">
        <v>100</v>
      </c>
      <c r="BV347">
        <v>0</v>
      </c>
      <c r="BW347" t="s">
        <v>268</v>
      </c>
      <c r="BX347" t="s">
        <v>272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100</v>
      </c>
      <c r="CE347">
        <v>0</v>
      </c>
      <c r="CF347">
        <v>0</v>
      </c>
      <c r="CG347">
        <v>0</v>
      </c>
      <c r="CH347">
        <v>0</v>
      </c>
      <c r="CI347">
        <v>0</v>
      </c>
      <c r="CJ347" t="s">
        <v>273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100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100</v>
      </c>
      <c r="CW347" t="s">
        <v>274</v>
      </c>
      <c r="CX347" t="s">
        <v>268</v>
      </c>
      <c r="CY347">
        <v>0</v>
      </c>
    </row>
    <row r="348" spans="5:103" x14ac:dyDescent="0.2">
      <c r="E348">
        <v>0</v>
      </c>
      <c r="F348" t="s">
        <v>155</v>
      </c>
      <c r="G348">
        <v>0</v>
      </c>
      <c r="H348" t="s">
        <v>155</v>
      </c>
      <c r="AL348">
        <v>0</v>
      </c>
      <c r="AM348">
        <v>0.3</v>
      </c>
      <c r="AN348">
        <v>0.3</v>
      </c>
      <c r="AO348">
        <v>0.4</v>
      </c>
      <c r="AP348" t="s">
        <v>268</v>
      </c>
      <c r="AQ348">
        <v>0.3</v>
      </c>
      <c r="AR348">
        <v>0.3</v>
      </c>
      <c r="AS348">
        <v>0.2</v>
      </c>
      <c r="AT348">
        <v>0.2</v>
      </c>
      <c r="AU348" t="s">
        <v>268</v>
      </c>
      <c r="AV348" t="s">
        <v>34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100</v>
      </c>
      <c r="BC348">
        <v>0</v>
      </c>
      <c r="BD348">
        <v>0</v>
      </c>
      <c r="BE348">
        <v>0</v>
      </c>
      <c r="BF348">
        <v>0</v>
      </c>
      <c r="BG348">
        <v>0</v>
      </c>
      <c r="BH348" t="s">
        <v>270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100</v>
      </c>
      <c r="BO348">
        <v>0</v>
      </c>
      <c r="BP348">
        <v>0</v>
      </c>
      <c r="BQ348">
        <v>0</v>
      </c>
      <c r="BR348">
        <v>0</v>
      </c>
      <c r="BS348">
        <v>0</v>
      </c>
      <c r="BT348" t="s">
        <v>271</v>
      </c>
      <c r="BU348">
        <v>100</v>
      </c>
      <c r="BV348">
        <v>0</v>
      </c>
      <c r="BW348" t="s">
        <v>268</v>
      </c>
      <c r="BX348" t="s">
        <v>272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100</v>
      </c>
      <c r="CE348">
        <v>0</v>
      </c>
      <c r="CF348">
        <v>0</v>
      </c>
      <c r="CG348">
        <v>0</v>
      </c>
      <c r="CH348">
        <v>0</v>
      </c>
      <c r="CI348">
        <v>0</v>
      </c>
      <c r="CJ348" t="s">
        <v>273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100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100</v>
      </c>
      <c r="CW348" t="s">
        <v>274</v>
      </c>
      <c r="CX348" t="s">
        <v>268</v>
      </c>
      <c r="CY348">
        <v>0</v>
      </c>
    </row>
    <row r="349" spans="5:103" x14ac:dyDescent="0.2">
      <c r="E349">
        <v>0</v>
      </c>
      <c r="F349" t="s">
        <v>155</v>
      </c>
      <c r="G349">
        <v>0</v>
      </c>
      <c r="H349" t="s">
        <v>155</v>
      </c>
      <c r="AL349">
        <v>0</v>
      </c>
      <c r="AM349">
        <v>0.3</v>
      </c>
      <c r="AN349">
        <v>0.3</v>
      </c>
      <c r="AO349">
        <v>0.4</v>
      </c>
      <c r="AP349" t="s">
        <v>268</v>
      </c>
      <c r="AQ349">
        <v>0.3</v>
      </c>
      <c r="AR349">
        <v>0.3</v>
      </c>
      <c r="AS349">
        <v>0.2</v>
      </c>
      <c r="AT349">
        <v>0.2</v>
      </c>
      <c r="AU349" t="s">
        <v>268</v>
      </c>
      <c r="AV349" t="s">
        <v>34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100</v>
      </c>
      <c r="BC349">
        <v>0</v>
      </c>
      <c r="BD349">
        <v>0</v>
      </c>
      <c r="BE349">
        <v>0</v>
      </c>
      <c r="BF349">
        <v>0</v>
      </c>
      <c r="BG349">
        <v>0</v>
      </c>
      <c r="BH349" t="s">
        <v>270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100</v>
      </c>
      <c r="BO349">
        <v>0</v>
      </c>
      <c r="BP349">
        <v>0</v>
      </c>
      <c r="BQ349">
        <v>0</v>
      </c>
      <c r="BR349">
        <v>0</v>
      </c>
      <c r="BS349">
        <v>0</v>
      </c>
      <c r="BT349" t="s">
        <v>271</v>
      </c>
      <c r="BU349">
        <v>100</v>
      </c>
      <c r="BV349">
        <v>0</v>
      </c>
      <c r="BW349" t="s">
        <v>268</v>
      </c>
      <c r="BX349" t="s">
        <v>272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100</v>
      </c>
      <c r="CE349">
        <v>0</v>
      </c>
      <c r="CF349">
        <v>0</v>
      </c>
      <c r="CG349">
        <v>0</v>
      </c>
      <c r="CH349">
        <v>0</v>
      </c>
      <c r="CI349">
        <v>0</v>
      </c>
      <c r="CJ349" t="s">
        <v>273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100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100</v>
      </c>
      <c r="CW349" t="s">
        <v>274</v>
      </c>
      <c r="CX349" t="s">
        <v>268</v>
      </c>
      <c r="CY349">
        <v>0</v>
      </c>
    </row>
    <row r="350" spans="5:103" x14ac:dyDescent="0.2">
      <c r="E350">
        <v>0</v>
      </c>
      <c r="F350" t="s">
        <v>155</v>
      </c>
      <c r="G350">
        <v>0</v>
      </c>
      <c r="H350" t="s">
        <v>155</v>
      </c>
      <c r="AL350">
        <v>0</v>
      </c>
      <c r="AM350">
        <v>0.3</v>
      </c>
      <c r="AN350">
        <v>0.3</v>
      </c>
      <c r="AO350">
        <v>0.4</v>
      </c>
      <c r="AP350" t="s">
        <v>268</v>
      </c>
      <c r="AQ350">
        <v>0.3</v>
      </c>
      <c r="AR350">
        <v>0.3</v>
      </c>
      <c r="AS350">
        <v>0.2</v>
      </c>
      <c r="AT350">
        <v>0.2</v>
      </c>
      <c r="AU350" t="s">
        <v>268</v>
      </c>
      <c r="AV350" t="s">
        <v>34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100</v>
      </c>
      <c r="BC350">
        <v>0</v>
      </c>
      <c r="BD350">
        <v>0</v>
      </c>
      <c r="BE350">
        <v>0</v>
      </c>
      <c r="BF350">
        <v>0</v>
      </c>
      <c r="BG350">
        <v>0</v>
      </c>
      <c r="BH350" t="s">
        <v>270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100</v>
      </c>
      <c r="BO350">
        <v>0</v>
      </c>
      <c r="BP350">
        <v>0</v>
      </c>
      <c r="BQ350">
        <v>0</v>
      </c>
      <c r="BR350">
        <v>0</v>
      </c>
      <c r="BS350">
        <v>0</v>
      </c>
      <c r="BT350" t="s">
        <v>271</v>
      </c>
      <c r="BU350">
        <v>100</v>
      </c>
      <c r="BV350">
        <v>0</v>
      </c>
      <c r="BW350" t="s">
        <v>268</v>
      </c>
      <c r="BX350" t="s">
        <v>272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100</v>
      </c>
      <c r="CE350">
        <v>0</v>
      </c>
      <c r="CF350">
        <v>0</v>
      </c>
      <c r="CG350">
        <v>0</v>
      </c>
      <c r="CH350">
        <v>0</v>
      </c>
      <c r="CI350">
        <v>0</v>
      </c>
      <c r="CJ350" t="s">
        <v>273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100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100</v>
      </c>
      <c r="CW350" t="s">
        <v>274</v>
      </c>
      <c r="CX350" t="s">
        <v>268</v>
      </c>
      <c r="CY350">
        <v>0</v>
      </c>
    </row>
    <row r="351" spans="5:103" x14ac:dyDescent="0.2">
      <c r="E351">
        <v>0</v>
      </c>
      <c r="F351" t="s">
        <v>155</v>
      </c>
      <c r="G351">
        <v>0</v>
      </c>
      <c r="H351" t="s">
        <v>155</v>
      </c>
      <c r="AL351">
        <v>0</v>
      </c>
      <c r="AM351">
        <v>0.3</v>
      </c>
      <c r="AN351">
        <v>0.3</v>
      </c>
      <c r="AO351">
        <v>0.4</v>
      </c>
      <c r="AP351" t="s">
        <v>268</v>
      </c>
      <c r="AQ351">
        <v>0.3</v>
      </c>
      <c r="AR351">
        <v>0.3</v>
      </c>
      <c r="AS351">
        <v>0.2</v>
      </c>
      <c r="AT351">
        <v>0.2</v>
      </c>
      <c r="AU351" t="s">
        <v>268</v>
      </c>
      <c r="AV351" t="s">
        <v>34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100</v>
      </c>
      <c r="BC351">
        <v>0</v>
      </c>
      <c r="BD351">
        <v>0</v>
      </c>
      <c r="BE351">
        <v>0</v>
      </c>
      <c r="BF351">
        <v>0</v>
      </c>
      <c r="BG351">
        <v>0</v>
      </c>
      <c r="BH351" t="s">
        <v>270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100</v>
      </c>
      <c r="BO351">
        <v>0</v>
      </c>
      <c r="BP351">
        <v>0</v>
      </c>
      <c r="BQ351">
        <v>0</v>
      </c>
      <c r="BR351">
        <v>0</v>
      </c>
      <c r="BS351">
        <v>0</v>
      </c>
      <c r="BT351" t="s">
        <v>271</v>
      </c>
      <c r="BU351">
        <v>100</v>
      </c>
      <c r="BV351">
        <v>0</v>
      </c>
      <c r="BW351" t="s">
        <v>268</v>
      </c>
      <c r="BX351" t="s">
        <v>272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100</v>
      </c>
      <c r="CE351">
        <v>0</v>
      </c>
      <c r="CF351">
        <v>0</v>
      </c>
      <c r="CG351">
        <v>0</v>
      </c>
      <c r="CH351">
        <v>0</v>
      </c>
      <c r="CI351">
        <v>0</v>
      </c>
      <c r="CJ351" t="s">
        <v>273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100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100</v>
      </c>
      <c r="CW351" t="s">
        <v>274</v>
      </c>
      <c r="CX351" t="s">
        <v>268</v>
      </c>
      <c r="CY351">
        <v>0</v>
      </c>
    </row>
    <row r="352" spans="5:103" x14ac:dyDescent="0.2">
      <c r="E352">
        <v>0</v>
      </c>
      <c r="F352" t="s">
        <v>155</v>
      </c>
      <c r="G352">
        <v>0</v>
      </c>
      <c r="H352" t="s">
        <v>155</v>
      </c>
      <c r="AL352">
        <v>0</v>
      </c>
      <c r="AM352">
        <v>0.3</v>
      </c>
      <c r="AN352">
        <v>0.3</v>
      </c>
      <c r="AO352">
        <v>0.4</v>
      </c>
      <c r="AP352" t="s">
        <v>268</v>
      </c>
      <c r="AQ352">
        <v>0.3</v>
      </c>
      <c r="AR352">
        <v>0.3</v>
      </c>
      <c r="AS352">
        <v>0.2</v>
      </c>
      <c r="AT352">
        <v>0.2</v>
      </c>
      <c r="AU352" t="s">
        <v>268</v>
      </c>
      <c r="AV352" t="s">
        <v>34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100</v>
      </c>
      <c r="BC352">
        <v>0</v>
      </c>
      <c r="BD352">
        <v>0</v>
      </c>
      <c r="BE352">
        <v>0</v>
      </c>
      <c r="BF352">
        <v>0</v>
      </c>
      <c r="BG352">
        <v>0</v>
      </c>
      <c r="BH352" t="s">
        <v>270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100</v>
      </c>
      <c r="BO352">
        <v>0</v>
      </c>
      <c r="BP352">
        <v>0</v>
      </c>
      <c r="BQ352">
        <v>0</v>
      </c>
      <c r="BR352">
        <v>0</v>
      </c>
      <c r="BS352">
        <v>0</v>
      </c>
      <c r="BT352" t="s">
        <v>271</v>
      </c>
      <c r="BU352">
        <v>100</v>
      </c>
      <c r="BV352">
        <v>0</v>
      </c>
      <c r="BW352" t="s">
        <v>268</v>
      </c>
      <c r="BX352" t="s">
        <v>272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100</v>
      </c>
      <c r="CE352">
        <v>0</v>
      </c>
      <c r="CF352">
        <v>0</v>
      </c>
      <c r="CG352">
        <v>0</v>
      </c>
      <c r="CH352">
        <v>0</v>
      </c>
      <c r="CI352">
        <v>0</v>
      </c>
      <c r="CJ352" t="s">
        <v>273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100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100</v>
      </c>
      <c r="CW352" t="s">
        <v>274</v>
      </c>
      <c r="CX352" t="s">
        <v>268</v>
      </c>
      <c r="CY352">
        <v>0</v>
      </c>
    </row>
    <row r="353" spans="5:103" x14ac:dyDescent="0.2">
      <c r="E353">
        <v>0</v>
      </c>
      <c r="F353" t="s">
        <v>155</v>
      </c>
      <c r="G353">
        <v>0</v>
      </c>
      <c r="H353" t="s">
        <v>155</v>
      </c>
      <c r="AL353">
        <v>0</v>
      </c>
      <c r="AM353">
        <v>0.3</v>
      </c>
      <c r="AN353">
        <v>0.3</v>
      </c>
      <c r="AO353">
        <v>0.4</v>
      </c>
      <c r="AP353" t="s">
        <v>268</v>
      </c>
      <c r="AQ353">
        <v>0.3</v>
      </c>
      <c r="AR353">
        <v>0.3</v>
      </c>
      <c r="AS353">
        <v>0.2</v>
      </c>
      <c r="AT353">
        <v>0.2</v>
      </c>
      <c r="AU353" t="s">
        <v>268</v>
      </c>
      <c r="AV353" t="s">
        <v>34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100</v>
      </c>
      <c r="BC353">
        <v>0</v>
      </c>
      <c r="BD353">
        <v>0</v>
      </c>
      <c r="BE353">
        <v>0</v>
      </c>
      <c r="BF353">
        <v>0</v>
      </c>
      <c r="BG353">
        <v>0</v>
      </c>
      <c r="BH353" t="s">
        <v>270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100</v>
      </c>
      <c r="BO353">
        <v>0</v>
      </c>
      <c r="BP353">
        <v>0</v>
      </c>
      <c r="BQ353">
        <v>0</v>
      </c>
      <c r="BR353">
        <v>0</v>
      </c>
      <c r="BS353">
        <v>0</v>
      </c>
      <c r="BT353" t="s">
        <v>271</v>
      </c>
      <c r="BU353">
        <v>100</v>
      </c>
      <c r="BV353">
        <v>0</v>
      </c>
      <c r="BW353" t="s">
        <v>268</v>
      </c>
      <c r="BX353" t="s">
        <v>272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100</v>
      </c>
      <c r="CE353">
        <v>0</v>
      </c>
      <c r="CF353">
        <v>0</v>
      </c>
      <c r="CG353">
        <v>0</v>
      </c>
      <c r="CH353">
        <v>0</v>
      </c>
      <c r="CI353">
        <v>0</v>
      </c>
      <c r="CJ353" t="s">
        <v>273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100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100</v>
      </c>
      <c r="CW353" t="s">
        <v>274</v>
      </c>
      <c r="CX353" t="s">
        <v>268</v>
      </c>
      <c r="CY353">
        <v>0</v>
      </c>
    </row>
    <row r="354" spans="5:103" x14ac:dyDescent="0.2">
      <c r="E354">
        <v>0</v>
      </c>
      <c r="F354" t="s">
        <v>155</v>
      </c>
      <c r="G354">
        <v>0</v>
      </c>
      <c r="H354" t="s">
        <v>155</v>
      </c>
      <c r="AL354">
        <v>0</v>
      </c>
      <c r="AM354">
        <v>0.3</v>
      </c>
      <c r="AN354">
        <v>0.3</v>
      </c>
      <c r="AO354">
        <v>0.4</v>
      </c>
      <c r="AP354" t="s">
        <v>268</v>
      </c>
      <c r="AQ354">
        <v>0.3</v>
      </c>
      <c r="AR354">
        <v>0.3</v>
      </c>
      <c r="AS354">
        <v>0.2</v>
      </c>
      <c r="AT354">
        <v>0.2</v>
      </c>
      <c r="AU354" t="s">
        <v>268</v>
      </c>
      <c r="AV354" t="s">
        <v>34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100</v>
      </c>
      <c r="BC354">
        <v>0</v>
      </c>
      <c r="BD354">
        <v>0</v>
      </c>
      <c r="BE354">
        <v>0</v>
      </c>
      <c r="BF354">
        <v>0</v>
      </c>
      <c r="BG354">
        <v>0</v>
      </c>
      <c r="BH354" t="s">
        <v>270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100</v>
      </c>
      <c r="BO354">
        <v>0</v>
      </c>
      <c r="BP354">
        <v>0</v>
      </c>
      <c r="BQ354">
        <v>0</v>
      </c>
      <c r="BR354">
        <v>0</v>
      </c>
      <c r="BS354">
        <v>0</v>
      </c>
      <c r="BT354" t="s">
        <v>271</v>
      </c>
      <c r="BU354">
        <v>100</v>
      </c>
      <c r="BV354">
        <v>0</v>
      </c>
      <c r="BW354" t="s">
        <v>268</v>
      </c>
      <c r="BX354" t="s">
        <v>272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100</v>
      </c>
      <c r="CE354">
        <v>0</v>
      </c>
      <c r="CF354">
        <v>0</v>
      </c>
      <c r="CG354">
        <v>0</v>
      </c>
      <c r="CH354">
        <v>0</v>
      </c>
      <c r="CI354">
        <v>0</v>
      </c>
      <c r="CJ354" t="s">
        <v>273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100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100</v>
      </c>
      <c r="CW354" t="s">
        <v>274</v>
      </c>
      <c r="CX354" t="s">
        <v>268</v>
      </c>
      <c r="CY354">
        <v>0</v>
      </c>
    </row>
    <row r="355" spans="5:103" x14ac:dyDescent="0.2">
      <c r="E355">
        <v>0</v>
      </c>
      <c r="F355" t="s">
        <v>155</v>
      </c>
      <c r="G355">
        <v>0</v>
      </c>
      <c r="H355" t="s">
        <v>155</v>
      </c>
      <c r="AL355">
        <v>0</v>
      </c>
      <c r="AM355">
        <v>0.3</v>
      </c>
      <c r="AN355">
        <v>0.3</v>
      </c>
      <c r="AO355">
        <v>0.4</v>
      </c>
      <c r="AP355" t="s">
        <v>268</v>
      </c>
      <c r="AQ355">
        <v>0.3</v>
      </c>
      <c r="AR355">
        <v>0.3</v>
      </c>
      <c r="AS355">
        <v>0.2</v>
      </c>
      <c r="AT355">
        <v>0.2</v>
      </c>
      <c r="AU355" t="s">
        <v>268</v>
      </c>
      <c r="AV355" t="s">
        <v>34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100</v>
      </c>
      <c r="BC355">
        <v>0</v>
      </c>
      <c r="BD355">
        <v>0</v>
      </c>
      <c r="BE355">
        <v>0</v>
      </c>
      <c r="BF355">
        <v>0</v>
      </c>
      <c r="BG355">
        <v>0</v>
      </c>
      <c r="BH355" t="s">
        <v>270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100</v>
      </c>
      <c r="BO355">
        <v>0</v>
      </c>
      <c r="BP355">
        <v>0</v>
      </c>
      <c r="BQ355">
        <v>0</v>
      </c>
      <c r="BR355">
        <v>0</v>
      </c>
      <c r="BS355">
        <v>0</v>
      </c>
      <c r="BT355" t="s">
        <v>271</v>
      </c>
      <c r="BU355">
        <v>100</v>
      </c>
      <c r="BV355">
        <v>0</v>
      </c>
      <c r="BW355" t="s">
        <v>268</v>
      </c>
      <c r="BX355" t="s">
        <v>272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100</v>
      </c>
      <c r="CE355">
        <v>0</v>
      </c>
      <c r="CF355">
        <v>0</v>
      </c>
      <c r="CG355">
        <v>0</v>
      </c>
      <c r="CH355">
        <v>0</v>
      </c>
      <c r="CI355">
        <v>0</v>
      </c>
      <c r="CJ355" t="s">
        <v>273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100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100</v>
      </c>
      <c r="CW355" t="s">
        <v>274</v>
      </c>
      <c r="CX355" t="s">
        <v>268</v>
      </c>
      <c r="CY355">
        <v>0</v>
      </c>
    </row>
    <row r="356" spans="5:103" x14ac:dyDescent="0.2">
      <c r="E356">
        <v>0</v>
      </c>
      <c r="F356" t="s">
        <v>155</v>
      </c>
      <c r="G356">
        <v>0</v>
      </c>
      <c r="H356" t="s">
        <v>155</v>
      </c>
      <c r="AL356">
        <v>0</v>
      </c>
      <c r="AM356">
        <v>0.3</v>
      </c>
      <c r="AN356">
        <v>0.3</v>
      </c>
      <c r="AO356">
        <v>0.4</v>
      </c>
      <c r="AP356" t="s">
        <v>268</v>
      </c>
      <c r="AQ356">
        <v>0.3</v>
      </c>
      <c r="AR356">
        <v>0.3</v>
      </c>
      <c r="AS356">
        <v>0.2</v>
      </c>
      <c r="AT356">
        <v>0.2</v>
      </c>
      <c r="AU356" t="s">
        <v>268</v>
      </c>
      <c r="AV356" t="s">
        <v>34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100</v>
      </c>
      <c r="BC356">
        <v>0</v>
      </c>
      <c r="BD356">
        <v>0</v>
      </c>
      <c r="BE356">
        <v>0</v>
      </c>
      <c r="BF356">
        <v>0</v>
      </c>
      <c r="BG356">
        <v>0</v>
      </c>
      <c r="BH356" t="s">
        <v>270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100</v>
      </c>
      <c r="BO356">
        <v>0</v>
      </c>
      <c r="BP356">
        <v>0</v>
      </c>
      <c r="BQ356">
        <v>0</v>
      </c>
      <c r="BR356">
        <v>0</v>
      </c>
      <c r="BS356">
        <v>0</v>
      </c>
      <c r="BT356" t="s">
        <v>271</v>
      </c>
      <c r="BU356">
        <v>100</v>
      </c>
      <c r="BV356">
        <v>0</v>
      </c>
      <c r="BW356" t="s">
        <v>268</v>
      </c>
      <c r="BX356" t="s">
        <v>272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100</v>
      </c>
      <c r="CE356">
        <v>0</v>
      </c>
      <c r="CF356">
        <v>0</v>
      </c>
      <c r="CG356">
        <v>0</v>
      </c>
      <c r="CH356">
        <v>0</v>
      </c>
      <c r="CI356">
        <v>0</v>
      </c>
      <c r="CJ356" t="s">
        <v>273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100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100</v>
      </c>
      <c r="CW356" t="s">
        <v>274</v>
      </c>
      <c r="CX356" t="s">
        <v>268</v>
      </c>
      <c r="CY356">
        <v>0</v>
      </c>
    </row>
    <row r="357" spans="5:103" x14ac:dyDescent="0.2">
      <c r="E357">
        <v>0</v>
      </c>
      <c r="F357" t="s">
        <v>155</v>
      </c>
      <c r="G357">
        <v>0</v>
      </c>
      <c r="H357" t="s">
        <v>155</v>
      </c>
      <c r="AL357">
        <v>0</v>
      </c>
      <c r="AM357">
        <v>0.3</v>
      </c>
      <c r="AN357">
        <v>0.3</v>
      </c>
      <c r="AO357">
        <v>0.4</v>
      </c>
      <c r="AP357" t="s">
        <v>268</v>
      </c>
      <c r="AQ357">
        <v>0.3</v>
      </c>
      <c r="AR357">
        <v>0.3</v>
      </c>
      <c r="AS357">
        <v>0.2</v>
      </c>
      <c r="AT357">
        <v>0.2</v>
      </c>
      <c r="AU357" t="s">
        <v>268</v>
      </c>
      <c r="AV357" t="s">
        <v>34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100</v>
      </c>
      <c r="BC357">
        <v>0</v>
      </c>
      <c r="BD357">
        <v>0</v>
      </c>
      <c r="BE357">
        <v>0</v>
      </c>
      <c r="BF357">
        <v>0</v>
      </c>
      <c r="BG357">
        <v>0</v>
      </c>
      <c r="BH357" t="s">
        <v>270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100</v>
      </c>
      <c r="BO357">
        <v>0</v>
      </c>
      <c r="BP357">
        <v>0</v>
      </c>
      <c r="BQ357">
        <v>0</v>
      </c>
      <c r="BR357">
        <v>0</v>
      </c>
      <c r="BS357">
        <v>0</v>
      </c>
      <c r="BT357" t="s">
        <v>271</v>
      </c>
      <c r="BU357">
        <v>100</v>
      </c>
      <c r="BV357">
        <v>0</v>
      </c>
      <c r="BW357" t="s">
        <v>268</v>
      </c>
      <c r="BX357" t="s">
        <v>272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100</v>
      </c>
      <c r="CE357">
        <v>0</v>
      </c>
      <c r="CF357">
        <v>0</v>
      </c>
      <c r="CG357">
        <v>0</v>
      </c>
      <c r="CH357">
        <v>0</v>
      </c>
      <c r="CI357">
        <v>0</v>
      </c>
      <c r="CJ357" t="s">
        <v>273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100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100</v>
      </c>
      <c r="CW357" t="s">
        <v>274</v>
      </c>
      <c r="CX357" t="s">
        <v>268</v>
      </c>
      <c r="CY357">
        <v>0</v>
      </c>
    </row>
    <row r="358" spans="5:103" x14ac:dyDescent="0.2">
      <c r="E358">
        <v>0</v>
      </c>
      <c r="F358" t="s">
        <v>155</v>
      </c>
      <c r="G358">
        <v>0</v>
      </c>
      <c r="H358" t="s">
        <v>155</v>
      </c>
      <c r="AL358">
        <v>0</v>
      </c>
      <c r="AM358">
        <v>0.3</v>
      </c>
      <c r="AN358">
        <v>0.3</v>
      </c>
      <c r="AO358">
        <v>0.4</v>
      </c>
      <c r="AP358" t="s">
        <v>268</v>
      </c>
      <c r="AQ358">
        <v>0.3</v>
      </c>
      <c r="AR358">
        <v>0.3</v>
      </c>
      <c r="AS358">
        <v>0.2</v>
      </c>
      <c r="AT358">
        <v>0.2</v>
      </c>
      <c r="AU358" t="s">
        <v>268</v>
      </c>
      <c r="AV358" t="s">
        <v>34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100</v>
      </c>
      <c r="BC358">
        <v>0</v>
      </c>
      <c r="BD358">
        <v>0</v>
      </c>
      <c r="BE358">
        <v>0</v>
      </c>
      <c r="BF358">
        <v>0</v>
      </c>
      <c r="BG358">
        <v>0</v>
      </c>
      <c r="BH358" t="s">
        <v>270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100</v>
      </c>
      <c r="BO358">
        <v>0</v>
      </c>
      <c r="BP358">
        <v>0</v>
      </c>
      <c r="BQ358">
        <v>0</v>
      </c>
      <c r="BR358">
        <v>0</v>
      </c>
      <c r="BS358">
        <v>0</v>
      </c>
      <c r="BT358" t="s">
        <v>271</v>
      </c>
      <c r="BU358">
        <v>100</v>
      </c>
      <c r="BV358">
        <v>0</v>
      </c>
      <c r="BW358" t="s">
        <v>268</v>
      </c>
      <c r="BX358" t="s">
        <v>272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100</v>
      </c>
      <c r="CE358">
        <v>0</v>
      </c>
      <c r="CF358">
        <v>0</v>
      </c>
      <c r="CG358">
        <v>0</v>
      </c>
      <c r="CH358">
        <v>0</v>
      </c>
      <c r="CI358">
        <v>0</v>
      </c>
      <c r="CJ358" t="s">
        <v>273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100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100</v>
      </c>
      <c r="CW358" t="s">
        <v>274</v>
      </c>
      <c r="CX358" t="s">
        <v>268</v>
      </c>
      <c r="CY358">
        <v>0</v>
      </c>
    </row>
    <row r="359" spans="5:103" x14ac:dyDescent="0.2">
      <c r="E359">
        <v>0</v>
      </c>
      <c r="F359" t="s">
        <v>155</v>
      </c>
      <c r="G359">
        <v>0</v>
      </c>
      <c r="H359" t="s">
        <v>155</v>
      </c>
      <c r="AL359">
        <v>0</v>
      </c>
      <c r="AM359">
        <v>0.3</v>
      </c>
      <c r="AN359">
        <v>0.3</v>
      </c>
      <c r="AO359">
        <v>0.4</v>
      </c>
      <c r="AP359" t="s">
        <v>268</v>
      </c>
      <c r="AQ359">
        <v>0.3</v>
      </c>
      <c r="AR359">
        <v>0.3</v>
      </c>
      <c r="AS359">
        <v>0.2</v>
      </c>
      <c r="AT359">
        <v>0.2</v>
      </c>
      <c r="AU359" t="s">
        <v>268</v>
      </c>
      <c r="AV359" t="s">
        <v>34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100</v>
      </c>
      <c r="BC359">
        <v>0</v>
      </c>
      <c r="BD359">
        <v>0</v>
      </c>
      <c r="BE359">
        <v>0</v>
      </c>
      <c r="BF359">
        <v>0</v>
      </c>
      <c r="BG359">
        <v>0</v>
      </c>
      <c r="BH359" t="s">
        <v>270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100</v>
      </c>
      <c r="BO359">
        <v>0</v>
      </c>
      <c r="BP359">
        <v>0</v>
      </c>
      <c r="BQ359">
        <v>0</v>
      </c>
      <c r="BR359">
        <v>0</v>
      </c>
      <c r="BS359">
        <v>0</v>
      </c>
      <c r="BT359" t="s">
        <v>271</v>
      </c>
      <c r="BU359">
        <v>100</v>
      </c>
      <c r="BV359">
        <v>0</v>
      </c>
      <c r="BW359" t="s">
        <v>268</v>
      </c>
      <c r="BX359" t="s">
        <v>272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100</v>
      </c>
      <c r="CE359">
        <v>0</v>
      </c>
      <c r="CF359">
        <v>0</v>
      </c>
      <c r="CG359">
        <v>0</v>
      </c>
      <c r="CH359">
        <v>0</v>
      </c>
      <c r="CI359">
        <v>0</v>
      </c>
      <c r="CJ359" t="s">
        <v>273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100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100</v>
      </c>
      <c r="CW359" t="s">
        <v>274</v>
      </c>
      <c r="CX359" t="s">
        <v>268</v>
      </c>
      <c r="CY359">
        <v>0</v>
      </c>
    </row>
    <row r="360" spans="5:103" x14ac:dyDescent="0.2">
      <c r="E360">
        <v>0</v>
      </c>
      <c r="F360" t="s">
        <v>155</v>
      </c>
      <c r="G360">
        <v>0</v>
      </c>
      <c r="H360" t="s">
        <v>155</v>
      </c>
      <c r="AL360">
        <v>0</v>
      </c>
      <c r="AM360">
        <v>0.3</v>
      </c>
      <c r="AN360">
        <v>0.3</v>
      </c>
      <c r="AO360">
        <v>0.4</v>
      </c>
      <c r="AP360" t="s">
        <v>268</v>
      </c>
      <c r="AQ360">
        <v>0.3</v>
      </c>
      <c r="AR360">
        <v>0.3</v>
      </c>
      <c r="AS360">
        <v>0.2</v>
      </c>
      <c r="AT360">
        <v>0.2</v>
      </c>
      <c r="AU360" t="s">
        <v>268</v>
      </c>
      <c r="AV360" t="s">
        <v>34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100</v>
      </c>
      <c r="BC360">
        <v>0</v>
      </c>
      <c r="BD360">
        <v>0</v>
      </c>
      <c r="BE360">
        <v>0</v>
      </c>
      <c r="BF360">
        <v>0</v>
      </c>
      <c r="BG360">
        <v>0</v>
      </c>
      <c r="BH360" t="s">
        <v>270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100</v>
      </c>
      <c r="BO360">
        <v>0</v>
      </c>
      <c r="BP360">
        <v>0</v>
      </c>
      <c r="BQ360">
        <v>0</v>
      </c>
      <c r="BR360">
        <v>0</v>
      </c>
      <c r="BS360">
        <v>0</v>
      </c>
      <c r="BT360" t="s">
        <v>271</v>
      </c>
      <c r="BU360">
        <v>100</v>
      </c>
      <c r="BV360">
        <v>0</v>
      </c>
      <c r="BW360" t="s">
        <v>268</v>
      </c>
      <c r="BX360" t="s">
        <v>272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100</v>
      </c>
      <c r="CE360">
        <v>0</v>
      </c>
      <c r="CF360">
        <v>0</v>
      </c>
      <c r="CG360">
        <v>0</v>
      </c>
      <c r="CH360">
        <v>0</v>
      </c>
      <c r="CI360">
        <v>0</v>
      </c>
      <c r="CJ360" t="s">
        <v>273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100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100</v>
      </c>
      <c r="CW360" t="s">
        <v>274</v>
      </c>
      <c r="CX360" t="s">
        <v>268</v>
      </c>
      <c r="CY360">
        <v>0</v>
      </c>
    </row>
    <row r="361" spans="5:103" x14ac:dyDescent="0.2">
      <c r="E361">
        <v>0</v>
      </c>
      <c r="F361" t="s">
        <v>155</v>
      </c>
      <c r="G361">
        <v>0</v>
      </c>
      <c r="H361" t="s">
        <v>155</v>
      </c>
      <c r="AL361">
        <v>0</v>
      </c>
      <c r="AM361">
        <v>0.3</v>
      </c>
      <c r="AN361">
        <v>0.3</v>
      </c>
      <c r="AO361">
        <v>0.4</v>
      </c>
      <c r="AP361" t="s">
        <v>268</v>
      </c>
      <c r="AQ361">
        <v>0.3</v>
      </c>
      <c r="AR361">
        <v>0.3</v>
      </c>
      <c r="AS361">
        <v>0.2</v>
      </c>
      <c r="AT361">
        <v>0.2</v>
      </c>
      <c r="AU361" t="s">
        <v>268</v>
      </c>
      <c r="AV361" t="s">
        <v>34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100</v>
      </c>
      <c r="BC361">
        <v>0</v>
      </c>
      <c r="BD361">
        <v>0</v>
      </c>
      <c r="BE361">
        <v>0</v>
      </c>
      <c r="BF361">
        <v>0</v>
      </c>
      <c r="BG361">
        <v>0</v>
      </c>
      <c r="BH361" t="s">
        <v>270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100</v>
      </c>
      <c r="BO361">
        <v>0</v>
      </c>
      <c r="BP361">
        <v>0</v>
      </c>
      <c r="BQ361">
        <v>0</v>
      </c>
      <c r="BR361">
        <v>0</v>
      </c>
      <c r="BS361">
        <v>0</v>
      </c>
      <c r="BT361" t="s">
        <v>271</v>
      </c>
      <c r="BU361">
        <v>100</v>
      </c>
      <c r="BV361">
        <v>0</v>
      </c>
      <c r="BW361" t="s">
        <v>268</v>
      </c>
      <c r="BX361" t="s">
        <v>272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100</v>
      </c>
      <c r="CE361">
        <v>0</v>
      </c>
      <c r="CF361">
        <v>0</v>
      </c>
      <c r="CG361">
        <v>0</v>
      </c>
      <c r="CH361">
        <v>0</v>
      </c>
      <c r="CI361">
        <v>0</v>
      </c>
      <c r="CJ361" t="s">
        <v>273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100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100</v>
      </c>
      <c r="CW361" t="s">
        <v>274</v>
      </c>
      <c r="CX361" t="s">
        <v>268</v>
      </c>
      <c r="CY361">
        <v>0</v>
      </c>
    </row>
    <row r="362" spans="5:103" x14ac:dyDescent="0.2">
      <c r="E362">
        <v>0</v>
      </c>
      <c r="F362" t="s">
        <v>155</v>
      </c>
      <c r="G362">
        <v>0</v>
      </c>
      <c r="H362" t="s">
        <v>155</v>
      </c>
      <c r="AL362">
        <v>0</v>
      </c>
      <c r="AM362">
        <v>0.3</v>
      </c>
      <c r="AN362">
        <v>0.3</v>
      </c>
      <c r="AO362">
        <v>0.4</v>
      </c>
      <c r="AP362" t="s">
        <v>268</v>
      </c>
      <c r="AQ362">
        <v>0.3</v>
      </c>
      <c r="AR362">
        <v>0.3</v>
      </c>
      <c r="AS362">
        <v>0.2</v>
      </c>
      <c r="AT362">
        <v>0.2</v>
      </c>
      <c r="AU362" t="s">
        <v>268</v>
      </c>
      <c r="AV362" t="s">
        <v>34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100</v>
      </c>
      <c r="BC362">
        <v>0</v>
      </c>
      <c r="BD362">
        <v>0</v>
      </c>
      <c r="BE362">
        <v>0</v>
      </c>
      <c r="BF362">
        <v>0</v>
      </c>
      <c r="BG362">
        <v>0</v>
      </c>
      <c r="BH362" t="s">
        <v>270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100</v>
      </c>
      <c r="BO362">
        <v>0</v>
      </c>
      <c r="BP362">
        <v>0</v>
      </c>
      <c r="BQ362">
        <v>0</v>
      </c>
      <c r="BR362">
        <v>0</v>
      </c>
      <c r="BS362">
        <v>0</v>
      </c>
      <c r="BT362" t="s">
        <v>271</v>
      </c>
      <c r="BU362">
        <v>100</v>
      </c>
      <c r="BV362">
        <v>0</v>
      </c>
      <c r="BW362" t="s">
        <v>268</v>
      </c>
      <c r="BX362" t="s">
        <v>272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100</v>
      </c>
      <c r="CE362">
        <v>0</v>
      </c>
      <c r="CF362">
        <v>0</v>
      </c>
      <c r="CG362">
        <v>0</v>
      </c>
      <c r="CH362">
        <v>0</v>
      </c>
      <c r="CI362">
        <v>0</v>
      </c>
      <c r="CJ362" t="s">
        <v>273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100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100</v>
      </c>
      <c r="CW362" t="s">
        <v>274</v>
      </c>
      <c r="CX362" t="s">
        <v>268</v>
      </c>
      <c r="CY362">
        <v>0</v>
      </c>
    </row>
    <row r="363" spans="5:103" x14ac:dyDescent="0.2">
      <c r="E363">
        <v>0</v>
      </c>
      <c r="F363" t="s">
        <v>155</v>
      </c>
      <c r="G363">
        <v>0</v>
      </c>
      <c r="H363" t="s">
        <v>155</v>
      </c>
      <c r="AL363">
        <v>0</v>
      </c>
      <c r="AM363">
        <v>0.3</v>
      </c>
      <c r="AN363">
        <v>0.3</v>
      </c>
      <c r="AO363">
        <v>0.4</v>
      </c>
      <c r="AP363" t="s">
        <v>268</v>
      </c>
      <c r="AQ363">
        <v>0.3</v>
      </c>
      <c r="AR363">
        <v>0.3</v>
      </c>
      <c r="AS363">
        <v>0.2</v>
      </c>
      <c r="AT363">
        <v>0.2</v>
      </c>
      <c r="AU363" t="s">
        <v>268</v>
      </c>
      <c r="AV363" t="s">
        <v>34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100</v>
      </c>
      <c r="BC363">
        <v>0</v>
      </c>
      <c r="BD363">
        <v>0</v>
      </c>
      <c r="BE363">
        <v>0</v>
      </c>
      <c r="BF363">
        <v>0</v>
      </c>
      <c r="BG363">
        <v>0</v>
      </c>
      <c r="BH363" t="s">
        <v>270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100</v>
      </c>
      <c r="BO363">
        <v>0</v>
      </c>
      <c r="BP363">
        <v>0</v>
      </c>
      <c r="BQ363">
        <v>0</v>
      </c>
      <c r="BR363">
        <v>0</v>
      </c>
      <c r="BS363">
        <v>0</v>
      </c>
      <c r="BT363" t="s">
        <v>271</v>
      </c>
      <c r="BU363">
        <v>100</v>
      </c>
      <c r="BV363">
        <v>0</v>
      </c>
      <c r="BW363" t="s">
        <v>268</v>
      </c>
      <c r="BX363" t="s">
        <v>272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100</v>
      </c>
      <c r="CE363">
        <v>0</v>
      </c>
      <c r="CF363">
        <v>0</v>
      </c>
      <c r="CG363">
        <v>0</v>
      </c>
      <c r="CH363">
        <v>0</v>
      </c>
      <c r="CI363">
        <v>0</v>
      </c>
      <c r="CJ363" t="s">
        <v>273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100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100</v>
      </c>
      <c r="CW363" t="s">
        <v>274</v>
      </c>
      <c r="CX363" t="s">
        <v>268</v>
      </c>
      <c r="CY363">
        <v>0</v>
      </c>
    </row>
    <row r="364" spans="5:103" x14ac:dyDescent="0.2">
      <c r="E364">
        <v>0</v>
      </c>
      <c r="F364" t="s">
        <v>155</v>
      </c>
      <c r="G364">
        <v>0</v>
      </c>
      <c r="H364" t="s">
        <v>155</v>
      </c>
      <c r="AL364">
        <v>0</v>
      </c>
      <c r="AM364">
        <v>0.3</v>
      </c>
      <c r="AN364">
        <v>0.3</v>
      </c>
      <c r="AO364">
        <v>0.4</v>
      </c>
      <c r="AP364" t="s">
        <v>268</v>
      </c>
      <c r="AQ364">
        <v>0.3</v>
      </c>
      <c r="AR364">
        <v>0.3</v>
      </c>
      <c r="AS364">
        <v>0.2</v>
      </c>
      <c r="AT364">
        <v>0.2</v>
      </c>
      <c r="AU364" t="s">
        <v>268</v>
      </c>
      <c r="AV364" t="s">
        <v>34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100</v>
      </c>
      <c r="BC364">
        <v>0</v>
      </c>
      <c r="BD364">
        <v>0</v>
      </c>
      <c r="BE364">
        <v>0</v>
      </c>
      <c r="BF364">
        <v>0</v>
      </c>
      <c r="BG364">
        <v>0</v>
      </c>
      <c r="BH364" t="s">
        <v>270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100</v>
      </c>
      <c r="BO364">
        <v>0</v>
      </c>
      <c r="BP364">
        <v>0</v>
      </c>
      <c r="BQ364">
        <v>0</v>
      </c>
      <c r="BR364">
        <v>0</v>
      </c>
      <c r="BS364">
        <v>0</v>
      </c>
      <c r="BT364" t="s">
        <v>271</v>
      </c>
      <c r="BU364">
        <v>100</v>
      </c>
      <c r="BV364">
        <v>0</v>
      </c>
      <c r="BW364" t="s">
        <v>268</v>
      </c>
      <c r="BX364" t="s">
        <v>272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100</v>
      </c>
      <c r="CE364">
        <v>0</v>
      </c>
      <c r="CF364">
        <v>0</v>
      </c>
      <c r="CG364">
        <v>0</v>
      </c>
      <c r="CH364">
        <v>0</v>
      </c>
      <c r="CI364">
        <v>0</v>
      </c>
      <c r="CJ364" t="s">
        <v>273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100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100</v>
      </c>
      <c r="CW364" t="s">
        <v>274</v>
      </c>
      <c r="CX364" t="s">
        <v>268</v>
      </c>
      <c r="CY364">
        <v>0</v>
      </c>
    </row>
    <row r="365" spans="5:103" x14ac:dyDescent="0.2">
      <c r="E365">
        <v>0</v>
      </c>
      <c r="F365" t="s">
        <v>155</v>
      </c>
      <c r="G365">
        <v>0</v>
      </c>
      <c r="H365" t="s">
        <v>155</v>
      </c>
      <c r="AL365">
        <v>0</v>
      </c>
      <c r="AM365">
        <v>0.3</v>
      </c>
      <c r="AN365">
        <v>0.3</v>
      </c>
      <c r="AO365">
        <v>0.4</v>
      </c>
      <c r="AP365" t="s">
        <v>268</v>
      </c>
      <c r="AQ365">
        <v>0.3</v>
      </c>
      <c r="AR365">
        <v>0.3</v>
      </c>
      <c r="AS365">
        <v>0.2</v>
      </c>
      <c r="AT365">
        <v>0.2</v>
      </c>
      <c r="AU365" t="s">
        <v>268</v>
      </c>
      <c r="AV365" t="s">
        <v>34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100</v>
      </c>
      <c r="BC365">
        <v>0</v>
      </c>
      <c r="BD365">
        <v>0</v>
      </c>
      <c r="BE365">
        <v>0</v>
      </c>
      <c r="BF365">
        <v>0</v>
      </c>
      <c r="BG365">
        <v>0</v>
      </c>
      <c r="BH365" t="s">
        <v>270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100</v>
      </c>
      <c r="BO365">
        <v>0</v>
      </c>
      <c r="BP365">
        <v>0</v>
      </c>
      <c r="BQ365">
        <v>0</v>
      </c>
      <c r="BR365">
        <v>0</v>
      </c>
      <c r="BS365">
        <v>0</v>
      </c>
      <c r="BT365" t="s">
        <v>271</v>
      </c>
      <c r="BU365">
        <v>100</v>
      </c>
      <c r="BV365">
        <v>0</v>
      </c>
      <c r="BW365" t="s">
        <v>268</v>
      </c>
      <c r="BX365" t="s">
        <v>272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100</v>
      </c>
      <c r="CE365">
        <v>0</v>
      </c>
      <c r="CF365">
        <v>0</v>
      </c>
      <c r="CG365">
        <v>0</v>
      </c>
      <c r="CH365">
        <v>0</v>
      </c>
      <c r="CI365">
        <v>0</v>
      </c>
      <c r="CJ365" t="s">
        <v>273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100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100</v>
      </c>
      <c r="CW365" t="s">
        <v>274</v>
      </c>
      <c r="CX365" t="s">
        <v>268</v>
      </c>
      <c r="CY365">
        <v>0</v>
      </c>
    </row>
    <row r="366" spans="5:103" x14ac:dyDescent="0.2">
      <c r="E366">
        <v>0</v>
      </c>
      <c r="F366" t="s">
        <v>155</v>
      </c>
      <c r="G366">
        <v>0</v>
      </c>
      <c r="H366" t="s">
        <v>155</v>
      </c>
      <c r="AL366">
        <v>0</v>
      </c>
      <c r="AM366">
        <v>0.3</v>
      </c>
      <c r="AN366">
        <v>0.3</v>
      </c>
      <c r="AO366">
        <v>0.4</v>
      </c>
      <c r="AP366" t="s">
        <v>268</v>
      </c>
      <c r="AQ366">
        <v>0.3</v>
      </c>
      <c r="AR366">
        <v>0.3</v>
      </c>
      <c r="AS366">
        <v>0.2</v>
      </c>
      <c r="AT366">
        <v>0.2</v>
      </c>
      <c r="AU366" t="s">
        <v>268</v>
      </c>
      <c r="AV366" t="s">
        <v>34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100</v>
      </c>
      <c r="BC366">
        <v>0</v>
      </c>
      <c r="BD366">
        <v>0</v>
      </c>
      <c r="BE366">
        <v>0</v>
      </c>
      <c r="BF366">
        <v>0</v>
      </c>
      <c r="BG366">
        <v>0</v>
      </c>
      <c r="BH366" t="s">
        <v>270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100</v>
      </c>
      <c r="BO366">
        <v>0</v>
      </c>
      <c r="BP366">
        <v>0</v>
      </c>
      <c r="BQ366">
        <v>0</v>
      </c>
      <c r="BR366">
        <v>0</v>
      </c>
      <c r="BS366">
        <v>0</v>
      </c>
      <c r="BT366" t="s">
        <v>271</v>
      </c>
      <c r="BU366">
        <v>100</v>
      </c>
      <c r="BV366">
        <v>0</v>
      </c>
      <c r="BW366" t="s">
        <v>268</v>
      </c>
      <c r="BX366" t="s">
        <v>272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100</v>
      </c>
      <c r="CE366">
        <v>0</v>
      </c>
      <c r="CF366">
        <v>0</v>
      </c>
      <c r="CG366">
        <v>0</v>
      </c>
      <c r="CH366">
        <v>0</v>
      </c>
      <c r="CI366">
        <v>0</v>
      </c>
      <c r="CJ366" t="s">
        <v>273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100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100</v>
      </c>
      <c r="CW366" t="s">
        <v>274</v>
      </c>
      <c r="CX366" t="s">
        <v>268</v>
      </c>
      <c r="CY366">
        <v>0</v>
      </c>
    </row>
    <row r="367" spans="5:103" x14ac:dyDescent="0.2">
      <c r="E367">
        <v>0</v>
      </c>
      <c r="F367" t="s">
        <v>155</v>
      </c>
      <c r="G367">
        <v>0</v>
      </c>
      <c r="H367" t="s">
        <v>155</v>
      </c>
      <c r="AL367">
        <v>0</v>
      </c>
      <c r="AM367">
        <v>0.3</v>
      </c>
      <c r="AN367">
        <v>0.3</v>
      </c>
      <c r="AO367">
        <v>0.4</v>
      </c>
      <c r="AP367" t="s">
        <v>268</v>
      </c>
      <c r="AQ367">
        <v>0.3</v>
      </c>
      <c r="AR367">
        <v>0.3</v>
      </c>
      <c r="AS367">
        <v>0.2</v>
      </c>
      <c r="AT367">
        <v>0.2</v>
      </c>
      <c r="AU367" t="s">
        <v>268</v>
      </c>
      <c r="AV367" t="s">
        <v>34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100</v>
      </c>
      <c r="BC367">
        <v>0</v>
      </c>
      <c r="BD367">
        <v>0</v>
      </c>
      <c r="BE367">
        <v>0</v>
      </c>
      <c r="BF367">
        <v>0</v>
      </c>
      <c r="BG367">
        <v>0</v>
      </c>
      <c r="BH367" t="s">
        <v>270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100</v>
      </c>
      <c r="BO367">
        <v>0</v>
      </c>
      <c r="BP367">
        <v>0</v>
      </c>
      <c r="BQ367">
        <v>0</v>
      </c>
      <c r="BR367">
        <v>0</v>
      </c>
      <c r="BS367">
        <v>0</v>
      </c>
      <c r="BT367" t="s">
        <v>271</v>
      </c>
      <c r="BU367">
        <v>100</v>
      </c>
      <c r="BV367">
        <v>0</v>
      </c>
      <c r="BW367" t="s">
        <v>268</v>
      </c>
      <c r="BX367" t="s">
        <v>272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100</v>
      </c>
      <c r="CE367">
        <v>0</v>
      </c>
      <c r="CF367">
        <v>0</v>
      </c>
      <c r="CG367">
        <v>0</v>
      </c>
      <c r="CH367">
        <v>0</v>
      </c>
      <c r="CI367">
        <v>0</v>
      </c>
      <c r="CJ367" t="s">
        <v>273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100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100</v>
      </c>
      <c r="CW367" t="s">
        <v>274</v>
      </c>
      <c r="CX367" t="s">
        <v>268</v>
      </c>
      <c r="CY367">
        <v>0</v>
      </c>
    </row>
    <row r="368" spans="5:103" x14ac:dyDescent="0.2">
      <c r="E368">
        <v>0</v>
      </c>
      <c r="F368" t="s">
        <v>155</v>
      </c>
      <c r="G368">
        <v>0</v>
      </c>
      <c r="H368" t="s">
        <v>155</v>
      </c>
      <c r="AL368">
        <v>0</v>
      </c>
      <c r="AM368">
        <v>0.3</v>
      </c>
      <c r="AN368">
        <v>0.3</v>
      </c>
      <c r="AO368">
        <v>0.4</v>
      </c>
      <c r="AP368" t="s">
        <v>268</v>
      </c>
      <c r="AQ368">
        <v>0.3</v>
      </c>
      <c r="AR368">
        <v>0.3</v>
      </c>
      <c r="AS368">
        <v>0.2</v>
      </c>
      <c r="AT368">
        <v>0.2</v>
      </c>
      <c r="AU368" t="s">
        <v>268</v>
      </c>
      <c r="AV368" t="s">
        <v>34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100</v>
      </c>
      <c r="BC368">
        <v>0</v>
      </c>
      <c r="BD368">
        <v>0</v>
      </c>
      <c r="BE368">
        <v>0</v>
      </c>
      <c r="BF368">
        <v>0</v>
      </c>
      <c r="BG368">
        <v>0</v>
      </c>
      <c r="BH368" t="s">
        <v>270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100</v>
      </c>
      <c r="BO368">
        <v>0</v>
      </c>
      <c r="BP368">
        <v>0</v>
      </c>
      <c r="BQ368">
        <v>0</v>
      </c>
      <c r="BR368">
        <v>0</v>
      </c>
      <c r="BS368">
        <v>0</v>
      </c>
      <c r="BT368" t="s">
        <v>271</v>
      </c>
      <c r="BU368">
        <v>100</v>
      </c>
      <c r="BV368">
        <v>0</v>
      </c>
      <c r="BW368" t="s">
        <v>268</v>
      </c>
      <c r="BX368" t="s">
        <v>272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100</v>
      </c>
      <c r="CE368">
        <v>0</v>
      </c>
      <c r="CF368">
        <v>0</v>
      </c>
      <c r="CG368">
        <v>0</v>
      </c>
      <c r="CH368">
        <v>0</v>
      </c>
      <c r="CI368">
        <v>0</v>
      </c>
      <c r="CJ368" t="s">
        <v>273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100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100</v>
      </c>
      <c r="CW368" t="s">
        <v>274</v>
      </c>
      <c r="CX368" t="s">
        <v>268</v>
      </c>
      <c r="CY368">
        <v>0</v>
      </c>
    </row>
    <row r="369" spans="5:103" x14ac:dyDescent="0.2">
      <c r="E369">
        <v>0</v>
      </c>
      <c r="F369" t="s">
        <v>155</v>
      </c>
      <c r="G369">
        <v>0</v>
      </c>
      <c r="H369" t="s">
        <v>155</v>
      </c>
      <c r="AL369">
        <v>0</v>
      </c>
      <c r="AM369">
        <v>0.3</v>
      </c>
      <c r="AN369">
        <v>0.3</v>
      </c>
      <c r="AO369">
        <v>0.4</v>
      </c>
      <c r="AP369" t="s">
        <v>268</v>
      </c>
      <c r="AQ369">
        <v>0.3</v>
      </c>
      <c r="AR369">
        <v>0.3</v>
      </c>
      <c r="AS369">
        <v>0.2</v>
      </c>
      <c r="AT369">
        <v>0.2</v>
      </c>
      <c r="AU369" t="s">
        <v>268</v>
      </c>
      <c r="AV369" t="s">
        <v>34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100</v>
      </c>
      <c r="BC369">
        <v>0</v>
      </c>
      <c r="BD369">
        <v>0</v>
      </c>
      <c r="BE369">
        <v>0</v>
      </c>
      <c r="BF369">
        <v>0</v>
      </c>
      <c r="BG369">
        <v>0</v>
      </c>
      <c r="BH369" t="s">
        <v>270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100</v>
      </c>
      <c r="BO369">
        <v>0</v>
      </c>
      <c r="BP369">
        <v>0</v>
      </c>
      <c r="BQ369">
        <v>0</v>
      </c>
      <c r="BR369">
        <v>0</v>
      </c>
      <c r="BS369">
        <v>0</v>
      </c>
      <c r="BT369" t="s">
        <v>271</v>
      </c>
      <c r="BU369">
        <v>100</v>
      </c>
      <c r="BV369">
        <v>0</v>
      </c>
      <c r="BW369" t="s">
        <v>268</v>
      </c>
      <c r="BX369" t="s">
        <v>272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100</v>
      </c>
      <c r="CE369">
        <v>0</v>
      </c>
      <c r="CF369">
        <v>0</v>
      </c>
      <c r="CG369">
        <v>0</v>
      </c>
      <c r="CH369">
        <v>0</v>
      </c>
      <c r="CI369">
        <v>0</v>
      </c>
      <c r="CJ369" t="s">
        <v>273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100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100</v>
      </c>
      <c r="CW369" t="s">
        <v>274</v>
      </c>
      <c r="CX369" t="s">
        <v>268</v>
      </c>
      <c r="CY369">
        <v>0</v>
      </c>
    </row>
    <row r="370" spans="5:103" x14ac:dyDescent="0.2">
      <c r="E370">
        <v>0</v>
      </c>
      <c r="F370" t="s">
        <v>155</v>
      </c>
      <c r="G370">
        <v>0</v>
      </c>
      <c r="H370" t="s">
        <v>155</v>
      </c>
      <c r="AL370">
        <v>0</v>
      </c>
      <c r="AM370">
        <v>0.3</v>
      </c>
      <c r="AN370">
        <v>0.3</v>
      </c>
      <c r="AO370">
        <v>0.4</v>
      </c>
      <c r="AP370" t="s">
        <v>268</v>
      </c>
      <c r="AQ370">
        <v>0.3</v>
      </c>
      <c r="AR370">
        <v>0.3</v>
      </c>
      <c r="AS370">
        <v>0.2</v>
      </c>
      <c r="AT370">
        <v>0.2</v>
      </c>
      <c r="AU370" t="s">
        <v>268</v>
      </c>
      <c r="AV370" t="s">
        <v>34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100</v>
      </c>
      <c r="BC370">
        <v>0</v>
      </c>
      <c r="BD370">
        <v>0</v>
      </c>
      <c r="BE370">
        <v>0</v>
      </c>
      <c r="BF370">
        <v>0</v>
      </c>
      <c r="BG370">
        <v>0</v>
      </c>
      <c r="BH370" t="s">
        <v>270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100</v>
      </c>
      <c r="BO370">
        <v>0</v>
      </c>
      <c r="BP370">
        <v>0</v>
      </c>
      <c r="BQ370">
        <v>0</v>
      </c>
      <c r="BR370">
        <v>0</v>
      </c>
      <c r="BS370">
        <v>0</v>
      </c>
      <c r="BT370" t="s">
        <v>271</v>
      </c>
      <c r="BU370">
        <v>100</v>
      </c>
      <c r="BV370">
        <v>0</v>
      </c>
      <c r="BW370" t="s">
        <v>268</v>
      </c>
      <c r="BX370" t="s">
        <v>272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100</v>
      </c>
      <c r="CE370">
        <v>0</v>
      </c>
      <c r="CF370">
        <v>0</v>
      </c>
      <c r="CG370">
        <v>0</v>
      </c>
      <c r="CH370">
        <v>0</v>
      </c>
      <c r="CI370">
        <v>0</v>
      </c>
      <c r="CJ370" t="s">
        <v>273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100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100</v>
      </c>
      <c r="CW370" t="s">
        <v>274</v>
      </c>
      <c r="CX370" t="s">
        <v>268</v>
      </c>
      <c r="CY370">
        <v>0</v>
      </c>
    </row>
    <row r="371" spans="5:103" x14ac:dyDescent="0.2">
      <c r="E371">
        <v>0</v>
      </c>
      <c r="F371" t="s">
        <v>155</v>
      </c>
      <c r="G371">
        <v>0</v>
      </c>
      <c r="H371" t="s">
        <v>155</v>
      </c>
      <c r="AL371">
        <v>0</v>
      </c>
      <c r="AM371">
        <v>0.3</v>
      </c>
      <c r="AN371">
        <v>0.3</v>
      </c>
      <c r="AO371">
        <v>0.4</v>
      </c>
      <c r="AP371" t="s">
        <v>268</v>
      </c>
      <c r="AQ371">
        <v>0.3</v>
      </c>
      <c r="AR371">
        <v>0.3</v>
      </c>
      <c r="AS371">
        <v>0.2</v>
      </c>
      <c r="AT371">
        <v>0.2</v>
      </c>
      <c r="AU371" t="s">
        <v>268</v>
      </c>
      <c r="AV371" t="s">
        <v>34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100</v>
      </c>
      <c r="BC371">
        <v>0</v>
      </c>
      <c r="BD371">
        <v>0</v>
      </c>
      <c r="BE371">
        <v>0</v>
      </c>
      <c r="BF371">
        <v>0</v>
      </c>
      <c r="BG371">
        <v>0</v>
      </c>
      <c r="BH371" t="s">
        <v>270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100</v>
      </c>
      <c r="BO371">
        <v>0</v>
      </c>
      <c r="BP371">
        <v>0</v>
      </c>
      <c r="BQ371">
        <v>0</v>
      </c>
      <c r="BR371">
        <v>0</v>
      </c>
      <c r="BS371">
        <v>0</v>
      </c>
      <c r="BT371" t="s">
        <v>271</v>
      </c>
      <c r="BU371">
        <v>100</v>
      </c>
      <c r="BV371">
        <v>0</v>
      </c>
      <c r="BW371" t="s">
        <v>268</v>
      </c>
      <c r="BX371" t="s">
        <v>272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100</v>
      </c>
      <c r="CE371">
        <v>0</v>
      </c>
      <c r="CF371">
        <v>0</v>
      </c>
      <c r="CG371">
        <v>0</v>
      </c>
      <c r="CH371">
        <v>0</v>
      </c>
      <c r="CI371">
        <v>0</v>
      </c>
      <c r="CJ371" t="s">
        <v>273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100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100</v>
      </c>
      <c r="CW371" t="s">
        <v>274</v>
      </c>
      <c r="CX371" t="s">
        <v>268</v>
      </c>
      <c r="CY371">
        <v>0</v>
      </c>
    </row>
    <row r="372" spans="5:103" x14ac:dyDescent="0.2">
      <c r="E372">
        <v>0</v>
      </c>
      <c r="F372" t="s">
        <v>155</v>
      </c>
      <c r="G372">
        <v>0</v>
      </c>
      <c r="H372" t="s">
        <v>155</v>
      </c>
      <c r="AL372">
        <v>0</v>
      </c>
      <c r="AM372">
        <v>0.3</v>
      </c>
      <c r="AN372">
        <v>0.3</v>
      </c>
      <c r="AO372">
        <v>0.4</v>
      </c>
      <c r="AP372" t="s">
        <v>268</v>
      </c>
      <c r="AQ372">
        <v>0.3</v>
      </c>
      <c r="AR372">
        <v>0.3</v>
      </c>
      <c r="AS372">
        <v>0.2</v>
      </c>
      <c r="AT372">
        <v>0.2</v>
      </c>
      <c r="AU372" t="s">
        <v>268</v>
      </c>
      <c r="AV372" t="s">
        <v>34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100</v>
      </c>
      <c r="BC372">
        <v>0</v>
      </c>
      <c r="BD372">
        <v>0</v>
      </c>
      <c r="BE372">
        <v>0</v>
      </c>
      <c r="BF372">
        <v>0</v>
      </c>
      <c r="BG372">
        <v>0</v>
      </c>
      <c r="BH372" t="s">
        <v>270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100</v>
      </c>
      <c r="BO372">
        <v>0</v>
      </c>
      <c r="BP372">
        <v>0</v>
      </c>
      <c r="BQ372">
        <v>0</v>
      </c>
      <c r="BR372">
        <v>0</v>
      </c>
      <c r="BS372">
        <v>0</v>
      </c>
      <c r="BT372" t="s">
        <v>271</v>
      </c>
      <c r="BU372">
        <v>100</v>
      </c>
      <c r="BV372">
        <v>0</v>
      </c>
      <c r="BW372" t="s">
        <v>268</v>
      </c>
      <c r="BX372" t="s">
        <v>272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100</v>
      </c>
      <c r="CE372">
        <v>0</v>
      </c>
      <c r="CF372">
        <v>0</v>
      </c>
      <c r="CG372">
        <v>0</v>
      </c>
      <c r="CH372">
        <v>0</v>
      </c>
      <c r="CI372">
        <v>0</v>
      </c>
      <c r="CJ372" t="s">
        <v>273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100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100</v>
      </c>
      <c r="CW372" t="s">
        <v>274</v>
      </c>
      <c r="CX372" t="s">
        <v>268</v>
      </c>
      <c r="CY372">
        <v>0</v>
      </c>
    </row>
    <row r="373" spans="5:103" x14ac:dyDescent="0.2">
      <c r="E373">
        <v>0</v>
      </c>
      <c r="F373" t="s">
        <v>155</v>
      </c>
      <c r="G373">
        <v>0</v>
      </c>
      <c r="H373" t="s">
        <v>155</v>
      </c>
      <c r="AL373">
        <v>0</v>
      </c>
      <c r="AM373">
        <v>0.3</v>
      </c>
      <c r="AN373">
        <v>0.3</v>
      </c>
      <c r="AO373">
        <v>0.4</v>
      </c>
      <c r="AP373" t="s">
        <v>268</v>
      </c>
      <c r="AQ373">
        <v>0.3</v>
      </c>
      <c r="AR373">
        <v>0.3</v>
      </c>
      <c r="AS373">
        <v>0.2</v>
      </c>
      <c r="AT373">
        <v>0.2</v>
      </c>
      <c r="AU373" t="s">
        <v>268</v>
      </c>
      <c r="AV373" t="s">
        <v>34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100</v>
      </c>
      <c r="BC373">
        <v>0</v>
      </c>
      <c r="BD373">
        <v>0</v>
      </c>
      <c r="BE373">
        <v>0</v>
      </c>
      <c r="BF373">
        <v>0</v>
      </c>
      <c r="BG373">
        <v>0</v>
      </c>
      <c r="BH373" t="s">
        <v>270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100</v>
      </c>
      <c r="BO373">
        <v>0</v>
      </c>
      <c r="BP373">
        <v>0</v>
      </c>
      <c r="BQ373">
        <v>0</v>
      </c>
      <c r="BR373">
        <v>0</v>
      </c>
      <c r="BS373">
        <v>0</v>
      </c>
      <c r="BT373" t="s">
        <v>271</v>
      </c>
      <c r="BU373">
        <v>100</v>
      </c>
      <c r="BV373">
        <v>0</v>
      </c>
      <c r="BW373" t="s">
        <v>268</v>
      </c>
      <c r="BX373" t="s">
        <v>272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100</v>
      </c>
      <c r="CE373">
        <v>0</v>
      </c>
      <c r="CF373">
        <v>0</v>
      </c>
      <c r="CG373">
        <v>0</v>
      </c>
      <c r="CH373">
        <v>0</v>
      </c>
      <c r="CI373">
        <v>0</v>
      </c>
      <c r="CJ373" t="s">
        <v>273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100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100</v>
      </c>
      <c r="CW373" t="s">
        <v>274</v>
      </c>
      <c r="CX373" t="s">
        <v>268</v>
      </c>
      <c r="CY373">
        <v>0</v>
      </c>
    </row>
    <row r="374" spans="5:103" x14ac:dyDescent="0.2">
      <c r="E374">
        <v>0</v>
      </c>
      <c r="F374" t="s">
        <v>155</v>
      </c>
      <c r="G374">
        <v>0</v>
      </c>
      <c r="H374" t="s">
        <v>155</v>
      </c>
      <c r="AL374">
        <v>0</v>
      </c>
      <c r="AM374">
        <v>0.3</v>
      </c>
      <c r="AN374">
        <v>0.3</v>
      </c>
      <c r="AO374">
        <v>0.4</v>
      </c>
      <c r="AP374" t="s">
        <v>268</v>
      </c>
      <c r="AQ374">
        <v>0.3</v>
      </c>
      <c r="AR374">
        <v>0.3</v>
      </c>
      <c r="AS374">
        <v>0.2</v>
      </c>
      <c r="AT374">
        <v>0.2</v>
      </c>
      <c r="AU374" t="s">
        <v>268</v>
      </c>
      <c r="AV374" t="s">
        <v>34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100</v>
      </c>
      <c r="BC374">
        <v>0</v>
      </c>
      <c r="BD374">
        <v>0</v>
      </c>
      <c r="BE374">
        <v>0</v>
      </c>
      <c r="BF374">
        <v>0</v>
      </c>
      <c r="BG374">
        <v>0</v>
      </c>
      <c r="BH374" t="s">
        <v>270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100</v>
      </c>
      <c r="BO374">
        <v>0</v>
      </c>
      <c r="BP374">
        <v>0</v>
      </c>
      <c r="BQ374">
        <v>0</v>
      </c>
      <c r="BR374">
        <v>0</v>
      </c>
      <c r="BS374">
        <v>0</v>
      </c>
      <c r="BT374" t="s">
        <v>271</v>
      </c>
      <c r="BU374">
        <v>100</v>
      </c>
      <c r="BV374">
        <v>0</v>
      </c>
      <c r="BW374" t="s">
        <v>268</v>
      </c>
      <c r="BX374" t="s">
        <v>272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100</v>
      </c>
      <c r="CE374">
        <v>0</v>
      </c>
      <c r="CF374">
        <v>0</v>
      </c>
      <c r="CG374">
        <v>0</v>
      </c>
      <c r="CH374">
        <v>0</v>
      </c>
      <c r="CI374">
        <v>0</v>
      </c>
      <c r="CJ374" t="s">
        <v>273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100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100</v>
      </c>
      <c r="CW374" t="s">
        <v>274</v>
      </c>
      <c r="CX374" t="s">
        <v>268</v>
      </c>
      <c r="CY374">
        <v>0</v>
      </c>
    </row>
    <row r="375" spans="5:103" x14ac:dyDescent="0.2">
      <c r="E375">
        <v>0</v>
      </c>
      <c r="F375" t="s">
        <v>155</v>
      </c>
      <c r="G375">
        <v>0</v>
      </c>
      <c r="H375" t="s">
        <v>155</v>
      </c>
      <c r="AL375">
        <v>0</v>
      </c>
      <c r="AM375">
        <v>0.3</v>
      </c>
      <c r="AN375">
        <v>0.3</v>
      </c>
      <c r="AO375">
        <v>0.4</v>
      </c>
      <c r="AP375" t="s">
        <v>268</v>
      </c>
      <c r="AQ375">
        <v>0.3</v>
      </c>
      <c r="AR375">
        <v>0.3</v>
      </c>
      <c r="AS375">
        <v>0.2</v>
      </c>
      <c r="AT375">
        <v>0.2</v>
      </c>
      <c r="AU375" t="s">
        <v>268</v>
      </c>
      <c r="AV375" t="s">
        <v>34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100</v>
      </c>
      <c r="BC375">
        <v>0</v>
      </c>
      <c r="BD375">
        <v>0</v>
      </c>
      <c r="BE375">
        <v>0</v>
      </c>
      <c r="BF375">
        <v>0</v>
      </c>
      <c r="BG375">
        <v>0</v>
      </c>
      <c r="BH375" t="s">
        <v>270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100</v>
      </c>
      <c r="BO375">
        <v>0</v>
      </c>
      <c r="BP375">
        <v>0</v>
      </c>
      <c r="BQ375">
        <v>0</v>
      </c>
      <c r="BR375">
        <v>0</v>
      </c>
      <c r="BS375">
        <v>0</v>
      </c>
      <c r="BT375" t="s">
        <v>271</v>
      </c>
      <c r="BU375">
        <v>100</v>
      </c>
      <c r="BV375">
        <v>0</v>
      </c>
      <c r="BW375" t="s">
        <v>268</v>
      </c>
      <c r="BX375" t="s">
        <v>272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100</v>
      </c>
      <c r="CE375">
        <v>0</v>
      </c>
      <c r="CF375">
        <v>0</v>
      </c>
      <c r="CG375">
        <v>0</v>
      </c>
      <c r="CH375">
        <v>0</v>
      </c>
      <c r="CI375">
        <v>0</v>
      </c>
      <c r="CJ375" t="s">
        <v>273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100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100</v>
      </c>
      <c r="CW375" t="s">
        <v>274</v>
      </c>
      <c r="CX375" t="s">
        <v>268</v>
      </c>
      <c r="CY375">
        <v>0</v>
      </c>
    </row>
    <row r="376" spans="5:103" x14ac:dyDescent="0.2">
      <c r="E376">
        <v>0</v>
      </c>
      <c r="F376" t="s">
        <v>155</v>
      </c>
      <c r="G376">
        <v>0</v>
      </c>
      <c r="H376" t="s">
        <v>155</v>
      </c>
      <c r="AL376">
        <v>0</v>
      </c>
      <c r="AM376">
        <v>0.3</v>
      </c>
      <c r="AN376">
        <v>0.3</v>
      </c>
      <c r="AO376">
        <v>0.4</v>
      </c>
      <c r="AP376" t="s">
        <v>268</v>
      </c>
      <c r="AQ376">
        <v>0.3</v>
      </c>
      <c r="AR376">
        <v>0.3</v>
      </c>
      <c r="AS376">
        <v>0.2</v>
      </c>
      <c r="AT376">
        <v>0.2</v>
      </c>
      <c r="AU376" t="s">
        <v>268</v>
      </c>
      <c r="AV376" t="s">
        <v>34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100</v>
      </c>
      <c r="BC376">
        <v>0</v>
      </c>
      <c r="BD376">
        <v>0</v>
      </c>
      <c r="BE376">
        <v>0</v>
      </c>
      <c r="BF376">
        <v>0</v>
      </c>
      <c r="BG376">
        <v>0</v>
      </c>
      <c r="BH376" t="s">
        <v>270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100</v>
      </c>
      <c r="BO376">
        <v>0</v>
      </c>
      <c r="BP376">
        <v>0</v>
      </c>
      <c r="BQ376">
        <v>0</v>
      </c>
      <c r="BR376">
        <v>0</v>
      </c>
      <c r="BS376">
        <v>0</v>
      </c>
      <c r="BT376" t="s">
        <v>271</v>
      </c>
      <c r="BU376">
        <v>100</v>
      </c>
      <c r="BV376">
        <v>0</v>
      </c>
      <c r="BW376" t="s">
        <v>268</v>
      </c>
      <c r="BX376" t="s">
        <v>272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100</v>
      </c>
      <c r="CE376">
        <v>0</v>
      </c>
      <c r="CF376">
        <v>0</v>
      </c>
      <c r="CG376">
        <v>0</v>
      </c>
      <c r="CH376">
        <v>0</v>
      </c>
      <c r="CI376">
        <v>0</v>
      </c>
      <c r="CJ376" t="s">
        <v>273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100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100</v>
      </c>
      <c r="CW376" t="s">
        <v>274</v>
      </c>
      <c r="CX376" t="s">
        <v>268</v>
      </c>
      <c r="CY376">
        <v>0</v>
      </c>
    </row>
    <row r="377" spans="5:103" x14ac:dyDescent="0.2">
      <c r="E377">
        <v>0</v>
      </c>
      <c r="F377" t="s">
        <v>155</v>
      </c>
      <c r="G377">
        <v>0</v>
      </c>
      <c r="H377" t="s">
        <v>155</v>
      </c>
      <c r="AL377">
        <v>0</v>
      </c>
      <c r="AM377">
        <v>0.3</v>
      </c>
      <c r="AN377">
        <v>0.3</v>
      </c>
      <c r="AO377">
        <v>0.4</v>
      </c>
      <c r="AP377" t="s">
        <v>268</v>
      </c>
      <c r="AQ377">
        <v>0.3</v>
      </c>
      <c r="AR377">
        <v>0.3</v>
      </c>
      <c r="AS377">
        <v>0.2</v>
      </c>
      <c r="AT377">
        <v>0.2</v>
      </c>
      <c r="AU377" t="s">
        <v>268</v>
      </c>
      <c r="AV377" t="s">
        <v>34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100</v>
      </c>
      <c r="BC377">
        <v>0</v>
      </c>
      <c r="BD377">
        <v>0</v>
      </c>
      <c r="BE377">
        <v>0</v>
      </c>
      <c r="BF377">
        <v>0</v>
      </c>
      <c r="BG377">
        <v>0</v>
      </c>
      <c r="BH377" t="s">
        <v>270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100</v>
      </c>
      <c r="BO377">
        <v>0</v>
      </c>
      <c r="BP377">
        <v>0</v>
      </c>
      <c r="BQ377">
        <v>0</v>
      </c>
      <c r="BR377">
        <v>0</v>
      </c>
      <c r="BS377">
        <v>0</v>
      </c>
      <c r="BT377" t="s">
        <v>271</v>
      </c>
      <c r="BU377">
        <v>100</v>
      </c>
      <c r="BV377">
        <v>0</v>
      </c>
      <c r="BW377" t="s">
        <v>268</v>
      </c>
      <c r="BX377" t="s">
        <v>272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100</v>
      </c>
      <c r="CE377">
        <v>0</v>
      </c>
      <c r="CF377">
        <v>0</v>
      </c>
      <c r="CG377">
        <v>0</v>
      </c>
      <c r="CH377">
        <v>0</v>
      </c>
      <c r="CI377">
        <v>0</v>
      </c>
      <c r="CJ377" t="s">
        <v>273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100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100</v>
      </c>
      <c r="CW377" t="s">
        <v>274</v>
      </c>
      <c r="CX377" t="s">
        <v>268</v>
      </c>
      <c r="CY377">
        <v>0</v>
      </c>
    </row>
    <row r="378" spans="5:103" x14ac:dyDescent="0.2">
      <c r="E378">
        <v>0</v>
      </c>
      <c r="F378" t="s">
        <v>155</v>
      </c>
      <c r="G378">
        <v>0</v>
      </c>
      <c r="H378" t="s">
        <v>155</v>
      </c>
      <c r="AL378">
        <v>0</v>
      </c>
      <c r="AM378">
        <v>0.3</v>
      </c>
      <c r="AN378">
        <v>0.3</v>
      </c>
      <c r="AO378">
        <v>0.4</v>
      </c>
      <c r="AP378" t="s">
        <v>268</v>
      </c>
      <c r="AQ378">
        <v>0.3</v>
      </c>
      <c r="AR378">
        <v>0.3</v>
      </c>
      <c r="AS378">
        <v>0.2</v>
      </c>
      <c r="AT378">
        <v>0.2</v>
      </c>
      <c r="AU378" t="s">
        <v>268</v>
      </c>
      <c r="AV378" t="s">
        <v>34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100</v>
      </c>
      <c r="BC378">
        <v>0</v>
      </c>
      <c r="BD378">
        <v>0</v>
      </c>
      <c r="BE378">
        <v>0</v>
      </c>
      <c r="BF378">
        <v>0</v>
      </c>
      <c r="BG378">
        <v>0</v>
      </c>
      <c r="BH378" t="s">
        <v>270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100</v>
      </c>
      <c r="BO378">
        <v>0</v>
      </c>
      <c r="BP378">
        <v>0</v>
      </c>
      <c r="BQ378">
        <v>0</v>
      </c>
      <c r="BR378">
        <v>0</v>
      </c>
      <c r="BS378">
        <v>0</v>
      </c>
      <c r="BT378" t="s">
        <v>271</v>
      </c>
      <c r="BU378">
        <v>100</v>
      </c>
      <c r="BV378">
        <v>0</v>
      </c>
      <c r="BW378" t="s">
        <v>268</v>
      </c>
      <c r="BX378" t="s">
        <v>272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100</v>
      </c>
      <c r="CE378">
        <v>0</v>
      </c>
      <c r="CF378">
        <v>0</v>
      </c>
      <c r="CG378">
        <v>0</v>
      </c>
      <c r="CH378">
        <v>0</v>
      </c>
      <c r="CI378">
        <v>0</v>
      </c>
      <c r="CJ378" t="s">
        <v>273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100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100</v>
      </c>
      <c r="CW378" t="s">
        <v>274</v>
      </c>
      <c r="CX378" t="s">
        <v>268</v>
      </c>
      <c r="CY378">
        <v>0</v>
      </c>
    </row>
    <row r="379" spans="5:103" x14ac:dyDescent="0.2">
      <c r="E379">
        <v>0</v>
      </c>
      <c r="F379" t="s">
        <v>155</v>
      </c>
      <c r="G379">
        <v>0</v>
      </c>
      <c r="H379" t="s">
        <v>155</v>
      </c>
      <c r="AL379">
        <v>0</v>
      </c>
      <c r="AM379">
        <v>0.3</v>
      </c>
      <c r="AN379">
        <v>0.3</v>
      </c>
      <c r="AO379">
        <v>0.4</v>
      </c>
      <c r="AP379" t="s">
        <v>268</v>
      </c>
      <c r="AQ379">
        <v>0.3</v>
      </c>
      <c r="AR379">
        <v>0.3</v>
      </c>
      <c r="AS379">
        <v>0.2</v>
      </c>
      <c r="AT379">
        <v>0.2</v>
      </c>
      <c r="AU379" t="s">
        <v>268</v>
      </c>
      <c r="AV379" t="s">
        <v>34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100</v>
      </c>
      <c r="BC379">
        <v>0</v>
      </c>
      <c r="BD379">
        <v>0</v>
      </c>
      <c r="BE379">
        <v>0</v>
      </c>
      <c r="BF379">
        <v>0</v>
      </c>
      <c r="BG379">
        <v>0</v>
      </c>
      <c r="BH379" t="s">
        <v>270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100</v>
      </c>
      <c r="BO379">
        <v>0</v>
      </c>
      <c r="BP379">
        <v>0</v>
      </c>
      <c r="BQ379">
        <v>0</v>
      </c>
      <c r="BR379">
        <v>0</v>
      </c>
      <c r="BS379">
        <v>0</v>
      </c>
      <c r="BT379" t="s">
        <v>271</v>
      </c>
      <c r="BU379">
        <v>100</v>
      </c>
      <c r="BV379">
        <v>0</v>
      </c>
      <c r="BW379" t="s">
        <v>268</v>
      </c>
      <c r="BX379" t="s">
        <v>272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100</v>
      </c>
      <c r="CE379">
        <v>0</v>
      </c>
      <c r="CF379">
        <v>0</v>
      </c>
      <c r="CG379">
        <v>0</v>
      </c>
      <c r="CH379">
        <v>0</v>
      </c>
      <c r="CI379">
        <v>0</v>
      </c>
      <c r="CJ379" t="s">
        <v>273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100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100</v>
      </c>
      <c r="CW379" t="s">
        <v>274</v>
      </c>
      <c r="CX379" t="s">
        <v>268</v>
      </c>
      <c r="CY379">
        <v>0</v>
      </c>
    </row>
    <row r="380" spans="5:103" x14ac:dyDescent="0.2">
      <c r="E380">
        <v>0</v>
      </c>
      <c r="F380" t="s">
        <v>155</v>
      </c>
      <c r="G380">
        <v>0</v>
      </c>
      <c r="H380" t="s">
        <v>155</v>
      </c>
      <c r="AL380">
        <v>0</v>
      </c>
      <c r="AM380">
        <v>0.3</v>
      </c>
      <c r="AN380">
        <v>0.3</v>
      </c>
      <c r="AO380">
        <v>0.4</v>
      </c>
      <c r="AP380" t="s">
        <v>268</v>
      </c>
      <c r="AQ380">
        <v>0.3</v>
      </c>
      <c r="AR380">
        <v>0.3</v>
      </c>
      <c r="AS380">
        <v>0.2</v>
      </c>
      <c r="AT380">
        <v>0.2</v>
      </c>
      <c r="AU380" t="s">
        <v>268</v>
      </c>
      <c r="AV380" t="s">
        <v>34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100</v>
      </c>
      <c r="BC380">
        <v>0</v>
      </c>
      <c r="BD380">
        <v>0</v>
      </c>
      <c r="BE380">
        <v>0</v>
      </c>
      <c r="BF380">
        <v>0</v>
      </c>
      <c r="BG380">
        <v>0</v>
      </c>
      <c r="BH380" t="s">
        <v>270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100</v>
      </c>
      <c r="BO380">
        <v>0</v>
      </c>
      <c r="BP380">
        <v>0</v>
      </c>
      <c r="BQ380">
        <v>0</v>
      </c>
      <c r="BR380">
        <v>0</v>
      </c>
      <c r="BS380">
        <v>0</v>
      </c>
      <c r="BT380" t="s">
        <v>271</v>
      </c>
      <c r="BU380">
        <v>100</v>
      </c>
      <c r="BV380">
        <v>0</v>
      </c>
      <c r="BW380" t="s">
        <v>268</v>
      </c>
      <c r="BX380" t="s">
        <v>272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100</v>
      </c>
      <c r="CE380">
        <v>0</v>
      </c>
      <c r="CF380">
        <v>0</v>
      </c>
      <c r="CG380">
        <v>0</v>
      </c>
      <c r="CH380">
        <v>0</v>
      </c>
      <c r="CI380">
        <v>0</v>
      </c>
      <c r="CJ380" t="s">
        <v>273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100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100</v>
      </c>
      <c r="CW380" t="s">
        <v>274</v>
      </c>
      <c r="CX380" t="s">
        <v>268</v>
      </c>
      <c r="CY380">
        <v>0</v>
      </c>
    </row>
    <row r="381" spans="5:103" x14ac:dyDescent="0.2">
      <c r="E381">
        <v>0</v>
      </c>
      <c r="F381" t="s">
        <v>155</v>
      </c>
      <c r="G381">
        <v>0</v>
      </c>
      <c r="H381" t="s">
        <v>155</v>
      </c>
      <c r="AL381">
        <v>0</v>
      </c>
      <c r="AM381">
        <v>0.3</v>
      </c>
      <c r="AN381">
        <v>0.3</v>
      </c>
      <c r="AO381">
        <v>0.4</v>
      </c>
      <c r="AP381" t="s">
        <v>268</v>
      </c>
      <c r="AQ381">
        <v>0.3</v>
      </c>
      <c r="AR381">
        <v>0.3</v>
      </c>
      <c r="AS381">
        <v>0.2</v>
      </c>
      <c r="AT381">
        <v>0.2</v>
      </c>
      <c r="AU381" t="s">
        <v>268</v>
      </c>
      <c r="AV381" t="s">
        <v>34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100</v>
      </c>
      <c r="BC381">
        <v>0</v>
      </c>
      <c r="BD381">
        <v>0</v>
      </c>
      <c r="BE381">
        <v>0</v>
      </c>
      <c r="BF381">
        <v>0</v>
      </c>
      <c r="BG381">
        <v>0</v>
      </c>
      <c r="BH381" t="s">
        <v>270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100</v>
      </c>
      <c r="BO381">
        <v>0</v>
      </c>
      <c r="BP381">
        <v>0</v>
      </c>
      <c r="BQ381">
        <v>0</v>
      </c>
      <c r="BR381">
        <v>0</v>
      </c>
      <c r="BS381">
        <v>0</v>
      </c>
      <c r="BT381" t="s">
        <v>271</v>
      </c>
      <c r="BU381">
        <v>100</v>
      </c>
      <c r="BV381">
        <v>0</v>
      </c>
      <c r="BW381" t="s">
        <v>268</v>
      </c>
      <c r="BX381" t="s">
        <v>272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100</v>
      </c>
      <c r="CE381">
        <v>0</v>
      </c>
      <c r="CF381">
        <v>0</v>
      </c>
      <c r="CG381">
        <v>0</v>
      </c>
      <c r="CH381">
        <v>0</v>
      </c>
      <c r="CI381">
        <v>0</v>
      </c>
      <c r="CJ381" t="s">
        <v>273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100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100</v>
      </c>
      <c r="CW381" t="s">
        <v>274</v>
      </c>
      <c r="CX381" t="s">
        <v>268</v>
      </c>
      <c r="CY381">
        <v>0</v>
      </c>
    </row>
    <row r="382" spans="5:103" x14ac:dyDescent="0.2">
      <c r="E382">
        <v>0</v>
      </c>
      <c r="F382" t="s">
        <v>155</v>
      </c>
      <c r="G382">
        <v>0</v>
      </c>
      <c r="H382" t="s">
        <v>155</v>
      </c>
      <c r="AL382">
        <v>0</v>
      </c>
      <c r="AM382">
        <v>0.3</v>
      </c>
      <c r="AN382">
        <v>0.3</v>
      </c>
      <c r="AO382">
        <v>0.4</v>
      </c>
      <c r="AP382" t="s">
        <v>268</v>
      </c>
      <c r="AQ382">
        <v>0.3</v>
      </c>
      <c r="AR382">
        <v>0.3</v>
      </c>
      <c r="AS382">
        <v>0.2</v>
      </c>
      <c r="AT382">
        <v>0.2</v>
      </c>
      <c r="AU382" t="s">
        <v>268</v>
      </c>
      <c r="AV382" t="s">
        <v>34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100</v>
      </c>
      <c r="BC382">
        <v>0</v>
      </c>
      <c r="BD382">
        <v>0</v>
      </c>
      <c r="BE382">
        <v>0</v>
      </c>
      <c r="BF382">
        <v>0</v>
      </c>
      <c r="BG382">
        <v>0</v>
      </c>
      <c r="BH382" t="s">
        <v>270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100</v>
      </c>
      <c r="BO382">
        <v>0</v>
      </c>
      <c r="BP382">
        <v>0</v>
      </c>
      <c r="BQ382">
        <v>0</v>
      </c>
      <c r="BR382">
        <v>0</v>
      </c>
      <c r="BS382">
        <v>0</v>
      </c>
      <c r="BT382" t="s">
        <v>271</v>
      </c>
      <c r="BU382">
        <v>100</v>
      </c>
      <c r="BV382">
        <v>0</v>
      </c>
      <c r="BW382" t="s">
        <v>268</v>
      </c>
      <c r="BX382" t="s">
        <v>272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100</v>
      </c>
      <c r="CE382">
        <v>0</v>
      </c>
      <c r="CF382">
        <v>0</v>
      </c>
      <c r="CG382">
        <v>0</v>
      </c>
      <c r="CH382">
        <v>0</v>
      </c>
      <c r="CI382">
        <v>0</v>
      </c>
      <c r="CJ382" t="s">
        <v>273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100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100</v>
      </c>
      <c r="CW382" t="s">
        <v>274</v>
      </c>
      <c r="CX382" t="s">
        <v>268</v>
      </c>
      <c r="CY382">
        <v>0</v>
      </c>
    </row>
    <row r="383" spans="5:103" x14ac:dyDescent="0.2">
      <c r="E383">
        <v>0</v>
      </c>
      <c r="F383" t="s">
        <v>155</v>
      </c>
      <c r="G383">
        <v>0</v>
      </c>
      <c r="H383" t="s">
        <v>155</v>
      </c>
      <c r="AL383">
        <v>0</v>
      </c>
      <c r="AM383">
        <v>0.3</v>
      </c>
      <c r="AN383">
        <v>0.3</v>
      </c>
      <c r="AO383">
        <v>0.4</v>
      </c>
      <c r="AP383" t="s">
        <v>268</v>
      </c>
      <c r="AQ383">
        <v>0.3</v>
      </c>
      <c r="AR383">
        <v>0.3</v>
      </c>
      <c r="AS383">
        <v>0.2</v>
      </c>
      <c r="AT383">
        <v>0.2</v>
      </c>
      <c r="AU383" t="s">
        <v>268</v>
      </c>
      <c r="AV383" t="s">
        <v>34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100</v>
      </c>
      <c r="BC383">
        <v>0</v>
      </c>
      <c r="BD383">
        <v>0</v>
      </c>
      <c r="BE383">
        <v>0</v>
      </c>
      <c r="BF383">
        <v>0</v>
      </c>
      <c r="BG383">
        <v>0</v>
      </c>
      <c r="BH383" t="s">
        <v>270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100</v>
      </c>
      <c r="BO383">
        <v>0</v>
      </c>
      <c r="BP383">
        <v>0</v>
      </c>
      <c r="BQ383">
        <v>0</v>
      </c>
      <c r="BR383">
        <v>0</v>
      </c>
      <c r="BS383">
        <v>0</v>
      </c>
      <c r="BT383" t="s">
        <v>271</v>
      </c>
      <c r="BU383">
        <v>100</v>
      </c>
      <c r="BV383">
        <v>0</v>
      </c>
      <c r="BW383" t="s">
        <v>268</v>
      </c>
      <c r="BX383" t="s">
        <v>272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100</v>
      </c>
      <c r="CE383">
        <v>0</v>
      </c>
      <c r="CF383">
        <v>0</v>
      </c>
      <c r="CG383">
        <v>0</v>
      </c>
      <c r="CH383">
        <v>0</v>
      </c>
      <c r="CI383">
        <v>0</v>
      </c>
      <c r="CJ383" t="s">
        <v>273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100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100</v>
      </c>
      <c r="CW383" t="s">
        <v>274</v>
      </c>
      <c r="CX383" t="s">
        <v>268</v>
      </c>
      <c r="CY383">
        <v>0</v>
      </c>
    </row>
    <row r="384" spans="5:103" x14ac:dyDescent="0.2">
      <c r="E384">
        <v>0</v>
      </c>
      <c r="F384" t="s">
        <v>155</v>
      </c>
      <c r="G384">
        <v>0</v>
      </c>
      <c r="H384" t="s">
        <v>155</v>
      </c>
      <c r="AL384">
        <v>0</v>
      </c>
      <c r="AM384">
        <v>0.3</v>
      </c>
      <c r="AN384">
        <v>0.3</v>
      </c>
      <c r="AO384">
        <v>0.4</v>
      </c>
      <c r="AP384" t="s">
        <v>268</v>
      </c>
      <c r="AQ384">
        <v>0.3</v>
      </c>
      <c r="AR384">
        <v>0.3</v>
      </c>
      <c r="AS384">
        <v>0.2</v>
      </c>
      <c r="AT384">
        <v>0.2</v>
      </c>
      <c r="AU384" t="s">
        <v>268</v>
      </c>
      <c r="AV384" t="s">
        <v>34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100</v>
      </c>
      <c r="BC384">
        <v>0</v>
      </c>
      <c r="BD384">
        <v>0</v>
      </c>
      <c r="BE384">
        <v>0</v>
      </c>
      <c r="BF384">
        <v>0</v>
      </c>
      <c r="BG384">
        <v>0</v>
      </c>
      <c r="BH384" t="s">
        <v>270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100</v>
      </c>
      <c r="BO384">
        <v>0</v>
      </c>
      <c r="BP384">
        <v>0</v>
      </c>
      <c r="BQ384">
        <v>0</v>
      </c>
      <c r="BR384">
        <v>0</v>
      </c>
      <c r="BS384">
        <v>0</v>
      </c>
      <c r="BT384" t="s">
        <v>271</v>
      </c>
      <c r="BU384">
        <v>100</v>
      </c>
      <c r="BV384">
        <v>0</v>
      </c>
      <c r="BW384" t="s">
        <v>268</v>
      </c>
      <c r="BX384" t="s">
        <v>272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100</v>
      </c>
      <c r="CE384">
        <v>0</v>
      </c>
      <c r="CF384">
        <v>0</v>
      </c>
      <c r="CG384">
        <v>0</v>
      </c>
      <c r="CH384">
        <v>0</v>
      </c>
      <c r="CI384">
        <v>0</v>
      </c>
      <c r="CJ384" t="s">
        <v>273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100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100</v>
      </c>
      <c r="CW384" t="s">
        <v>274</v>
      </c>
      <c r="CX384" t="s">
        <v>268</v>
      </c>
      <c r="CY384">
        <v>0</v>
      </c>
    </row>
    <row r="385" spans="5:103" x14ac:dyDescent="0.2">
      <c r="E385">
        <v>0</v>
      </c>
      <c r="F385" t="s">
        <v>155</v>
      </c>
      <c r="G385">
        <v>0</v>
      </c>
      <c r="H385" t="s">
        <v>155</v>
      </c>
      <c r="AL385">
        <v>0</v>
      </c>
      <c r="AM385">
        <v>0.3</v>
      </c>
      <c r="AN385">
        <v>0.3</v>
      </c>
      <c r="AO385">
        <v>0.4</v>
      </c>
      <c r="AP385" t="s">
        <v>268</v>
      </c>
      <c r="AQ385">
        <v>0.3</v>
      </c>
      <c r="AR385">
        <v>0.3</v>
      </c>
      <c r="AS385">
        <v>0.2</v>
      </c>
      <c r="AT385">
        <v>0.2</v>
      </c>
      <c r="AU385" t="s">
        <v>268</v>
      </c>
      <c r="AV385" t="s">
        <v>34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100</v>
      </c>
      <c r="BC385">
        <v>0</v>
      </c>
      <c r="BD385">
        <v>0</v>
      </c>
      <c r="BE385">
        <v>0</v>
      </c>
      <c r="BF385">
        <v>0</v>
      </c>
      <c r="BG385">
        <v>0</v>
      </c>
      <c r="BH385" t="s">
        <v>270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100</v>
      </c>
      <c r="BO385">
        <v>0</v>
      </c>
      <c r="BP385">
        <v>0</v>
      </c>
      <c r="BQ385">
        <v>0</v>
      </c>
      <c r="BR385">
        <v>0</v>
      </c>
      <c r="BS385">
        <v>0</v>
      </c>
      <c r="BT385" t="s">
        <v>271</v>
      </c>
      <c r="BU385">
        <v>100</v>
      </c>
      <c r="BV385">
        <v>0</v>
      </c>
      <c r="BW385" t="s">
        <v>268</v>
      </c>
      <c r="BX385" t="s">
        <v>272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100</v>
      </c>
      <c r="CE385">
        <v>0</v>
      </c>
      <c r="CF385">
        <v>0</v>
      </c>
      <c r="CG385">
        <v>0</v>
      </c>
      <c r="CH385">
        <v>0</v>
      </c>
      <c r="CI385">
        <v>0</v>
      </c>
      <c r="CJ385" t="s">
        <v>273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100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100</v>
      </c>
      <c r="CW385" t="s">
        <v>274</v>
      </c>
      <c r="CX385" t="s">
        <v>268</v>
      </c>
      <c r="CY385">
        <v>0</v>
      </c>
    </row>
    <row r="386" spans="5:103" x14ac:dyDescent="0.2">
      <c r="E386">
        <v>0</v>
      </c>
      <c r="F386" t="s">
        <v>155</v>
      </c>
      <c r="G386">
        <v>0</v>
      </c>
      <c r="H386" t="s">
        <v>155</v>
      </c>
      <c r="AL386">
        <v>0</v>
      </c>
      <c r="AM386">
        <v>0.3</v>
      </c>
      <c r="AN386">
        <v>0.3</v>
      </c>
      <c r="AO386">
        <v>0.4</v>
      </c>
      <c r="AP386" t="s">
        <v>268</v>
      </c>
      <c r="AQ386">
        <v>0.3</v>
      </c>
      <c r="AR386">
        <v>0.3</v>
      </c>
      <c r="AS386">
        <v>0.2</v>
      </c>
      <c r="AT386">
        <v>0.2</v>
      </c>
      <c r="AU386" t="s">
        <v>268</v>
      </c>
      <c r="AV386" t="s">
        <v>34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100</v>
      </c>
      <c r="BC386">
        <v>0</v>
      </c>
      <c r="BD386">
        <v>0</v>
      </c>
      <c r="BE386">
        <v>0</v>
      </c>
      <c r="BF386">
        <v>0</v>
      </c>
      <c r="BG386">
        <v>0</v>
      </c>
      <c r="BH386" t="s">
        <v>270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100</v>
      </c>
      <c r="BO386">
        <v>0</v>
      </c>
      <c r="BP386">
        <v>0</v>
      </c>
      <c r="BQ386">
        <v>0</v>
      </c>
      <c r="BR386">
        <v>0</v>
      </c>
      <c r="BS386">
        <v>0</v>
      </c>
      <c r="BT386" t="s">
        <v>271</v>
      </c>
      <c r="BU386">
        <v>100</v>
      </c>
      <c r="BV386">
        <v>0</v>
      </c>
      <c r="BW386" t="s">
        <v>268</v>
      </c>
      <c r="BX386" t="s">
        <v>272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100</v>
      </c>
      <c r="CE386">
        <v>0</v>
      </c>
      <c r="CF386">
        <v>0</v>
      </c>
      <c r="CG386">
        <v>0</v>
      </c>
      <c r="CH386">
        <v>0</v>
      </c>
      <c r="CI386">
        <v>0</v>
      </c>
      <c r="CJ386" t="s">
        <v>273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100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100</v>
      </c>
      <c r="CW386" t="s">
        <v>274</v>
      </c>
      <c r="CX386" t="s">
        <v>268</v>
      </c>
      <c r="CY386">
        <v>0</v>
      </c>
    </row>
    <row r="387" spans="5:103" x14ac:dyDescent="0.2">
      <c r="E387">
        <v>0</v>
      </c>
      <c r="F387" t="s">
        <v>155</v>
      </c>
      <c r="G387">
        <v>0</v>
      </c>
      <c r="H387" t="s">
        <v>155</v>
      </c>
      <c r="AL387">
        <v>0</v>
      </c>
      <c r="AM387">
        <v>0.3</v>
      </c>
      <c r="AN387">
        <v>0.3</v>
      </c>
      <c r="AO387">
        <v>0.4</v>
      </c>
      <c r="AP387" t="s">
        <v>268</v>
      </c>
      <c r="AQ387">
        <v>0.3</v>
      </c>
      <c r="AR387">
        <v>0.3</v>
      </c>
      <c r="AS387">
        <v>0.2</v>
      </c>
      <c r="AT387">
        <v>0.2</v>
      </c>
      <c r="AU387" t="s">
        <v>268</v>
      </c>
      <c r="AV387" t="s">
        <v>34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100</v>
      </c>
      <c r="BC387">
        <v>0</v>
      </c>
      <c r="BD387">
        <v>0</v>
      </c>
      <c r="BE387">
        <v>0</v>
      </c>
      <c r="BF387">
        <v>0</v>
      </c>
      <c r="BG387">
        <v>0</v>
      </c>
      <c r="BH387" t="s">
        <v>270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100</v>
      </c>
      <c r="BO387">
        <v>0</v>
      </c>
      <c r="BP387">
        <v>0</v>
      </c>
      <c r="BQ387">
        <v>0</v>
      </c>
      <c r="BR387">
        <v>0</v>
      </c>
      <c r="BS387">
        <v>0</v>
      </c>
      <c r="BT387" t="s">
        <v>271</v>
      </c>
      <c r="BU387">
        <v>100</v>
      </c>
      <c r="BV387">
        <v>0</v>
      </c>
      <c r="BW387" t="s">
        <v>268</v>
      </c>
      <c r="BX387" t="s">
        <v>272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100</v>
      </c>
      <c r="CE387">
        <v>0</v>
      </c>
      <c r="CF387">
        <v>0</v>
      </c>
      <c r="CG387">
        <v>0</v>
      </c>
      <c r="CH387">
        <v>0</v>
      </c>
      <c r="CI387">
        <v>0</v>
      </c>
      <c r="CJ387" t="s">
        <v>273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100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100</v>
      </c>
      <c r="CW387" t="s">
        <v>274</v>
      </c>
      <c r="CX387" t="s">
        <v>268</v>
      </c>
      <c r="CY387">
        <v>0</v>
      </c>
    </row>
    <row r="388" spans="5:103" x14ac:dyDescent="0.2">
      <c r="E388">
        <v>0</v>
      </c>
      <c r="F388" t="s">
        <v>155</v>
      </c>
      <c r="G388">
        <v>0</v>
      </c>
      <c r="H388" t="s">
        <v>155</v>
      </c>
      <c r="AL388">
        <v>0</v>
      </c>
      <c r="AM388">
        <v>0.3</v>
      </c>
      <c r="AN388">
        <v>0.3</v>
      </c>
      <c r="AO388">
        <v>0.4</v>
      </c>
      <c r="AP388" t="s">
        <v>268</v>
      </c>
      <c r="AQ388">
        <v>0.3</v>
      </c>
      <c r="AR388">
        <v>0.3</v>
      </c>
      <c r="AS388">
        <v>0.2</v>
      </c>
      <c r="AT388">
        <v>0.2</v>
      </c>
      <c r="AU388" t="s">
        <v>268</v>
      </c>
      <c r="AV388" t="s">
        <v>34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100</v>
      </c>
      <c r="BC388">
        <v>0</v>
      </c>
      <c r="BD388">
        <v>0</v>
      </c>
      <c r="BE388">
        <v>0</v>
      </c>
      <c r="BF388">
        <v>0</v>
      </c>
      <c r="BG388">
        <v>0</v>
      </c>
      <c r="BH388" t="s">
        <v>270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100</v>
      </c>
      <c r="BO388">
        <v>0</v>
      </c>
      <c r="BP388">
        <v>0</v>
      </c>
      <c r="BQ388">
        <v>0</v>
      </c>
      <c r="BR388">
        <v>0</v>
      </c>
      <c r="BS388">
        <v>0</v>
      </c>
      <c r="BT388" t="s">
        <v>271</v>
      </c>
      <c r="BU388">
        <v>100</v>
      </c>
      <c r="BV388">
        <v>0</v>
      </c>
      <c r="BW388" t="s">
        <v>268</v>
      </c>
      <c r="BX388" t="s">
        <v>272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100</v>
      </c>
      <c r="CE388">
        <v>0</v>
      </c>
      <c r="CF388">
        <v>0</v>
      </c>
      <c r="CG388">
        <v>0</v>
      </c>
      <c r="CH388">
        <v>0</v>
      </c>
      <c r="CI388">
        <v>0</v>
      </c>
      <c r="CJ388" t="s">
        <v>273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100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100</v>
      </c>
      <c r="CW388" t="s">
        <v>274</v>
      </c>
      <c r="CX388" t="s">
        <v>268</v>
      </c>
      <c r="CY388">
        <v>0</v>
      </c>
    </row>
    <row r="389" spans="5:103" x14ac:dyDescent="0.2">
      <c r="E389">
        <v>0</v>
      </c>
      <c r="F389" t="s">
        <v>155</v>
      </c>
      <c r="G389">
        <v>0</v>
      </c>
      <c r="H389" t="s">
        <v>155</v>
      </c>
      <c r="AL389">
        <v>0</v>
      </c>
      <c r="AM389">
        <v>0.3</v>
      </c>
      <c r="AN389">
        <v>0.3</v>
      </c>
      <c r="AO389">
        <v>0.4</v>
      </c>
      <c r="AP389" t="s">
        <v>268</v>
      </c>
      <c r="AQ389">
        <v>0.3</v>
      </c>
      <c r="AR389">
        <v>0.3</v>
      </c>
      <c r="AS389">
        <v>0.2</v>
      </c>
      <c r="AT389">
        <v>0.2</v>
      </c>
      <c r="AU389" t="s">
        <v>268</v>
      </c>
      <c r="AV389" t="s">
        <v>34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100</v>
      </c>
      <c r="BC389">
        <v>0</v>
      </c>
      <c r="BD389">
        <v>0</v>
      </c>
      <c r="BE389">
        <v>0</v>
      </c>
      <c r="BF389">
        <v>0</v>
      </c>
      <c r="BG389">
        <v>0</v>
      </c>
      <c r="BH389" t="s">
        <v>270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100</v>
      </c>
      <c r="BO389">
        <v>0</v>
      </c>
      <c r="BP389">
        <v>0</v>
      </c>
      <c r="BQ389">
        <v>0</v>
      </c>
      <c r="BR389">
        <v>0</v>
      </c>
      <c r="BS389">
        <v>0</v>
      </c>
      <c r="BT389" t="s">
        <v>271</v>
      </c>
      <c r="BU389">
        <v>100</v>
      </c>
      <c r="BV389">
        <v>0</v>
      </c>
      <c r="BW389" t="s">
        <v>268</v>
      </c>
      <c r="BX389" t="s">
        <v>272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100</v>
      </c>
      <c r="CE389">
        <v>0</v>
      </c>
      <c r="CF389">
        <v>0</v>
      </c>
      <c r="CG389">
        <v>0</v>
      </c>
      <c r="CH389">
        <v>0</v>
      </c>
      <c r="CI389">
        <v>0</v>
      </c>
      <c r="CJ389" t="s">
        <v>273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100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100</v>
      </c>
      <c r="CW389" t="s">
        <v>274</v>
      </c>
      <c r="CX389" t="s">
        <v>268</v>
      </c>
      <c r="CY389">
        <v>0</v>
      </c>
    </row>
    <row r="390" spans="5:103" x14ac:dyDescent="0.2">
      <c r="E390">
        <v>0</v>
      </c>
      <c r="F390" t="s">
        <v>155</v>
      </c>
      <c r="G390">
        <v>0</v>
      </c>
      <c r="H390" t="s">
        <v>155</v>
      </c>
      <c r="AL390">
        <v>0</v>
      </c>
      <c r="AM390">
        <v>0.3</v>
      </c>
      <c r="AN390">
        <v>0.3</v>
      </c>
      <c r="AO390">
        <v>0.4</v>
      </c>
      <c r="AP390" t="s">
        <v>268</v>
      </c>
      <c r="AQ390">
        <v>0.3</v>
      </c>
      <c r="AR390">
        <v>0.3</v>
      </c>
      <c r="AS390">
        <v>0.2</v>
      </c>
      <c r="AT390">
        <v>0.2</v>
      </c>
      <c r="AU390" t="s">
        <v>268</v>
      </c>
      <c r="AV390" t="s">
        <v>34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100</v>
      </c>
      <c r="BC390">
        <v>0</v>
      </c>
      <c r="BD390">
        <v>0</v>
      </c>
      <c r="BE390">
        <v>0</v>
      </c>
      <c r="BF390">
        <v>0</v>
      </c>
      <c r="BG390">
        <v>0</v>
      </c>
      <c r="BH390" t="s">
        <v>270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100</v>
      </c>
      <c r="BO390">
        <v>0</v>
      </c>
      <c r="BP390">
        <v>0</v>
      </c>
      <c r="BQ390">
        <v>0</v>
      </c>
      <c r="BR390">
        <v>0</v>
      </c>
      <c r="BS390">
        <v>0</v>
      </c>
      <c r="BT390" t="s">
        <v>271</v>
      </c>
      <c r="BU390">
        <v>100</v>
      </c>
      <c r="BV390">
        <v>0</v>
      </c>
      <c r="BW390" t="s">
        <v>268</v>
      </c>
      <c r="BX390" t="s">
        <v>272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100</v>
      </c>
      <c r="CE390">
        <v>0</v>
      </c>
      <c r="CF390">
        <v>0</v>
      </c>
      <c r="CG390">
        <v>0</v>
      </c>
      <c r="CH390">
        <v>0</v>
      </c>
      <c r="CI390">
        <v>0</v>
      </c>
      <c r="CJ390" t="s">
        <v>273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100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100</v>
      </c>
      <c r="CW390" t="s">
        <v>274</v>
      </c>
      <c r="CX390" t="s">
        <v>268</v>
      </c>
      <c r="CY390">
        <v>0</v>
      </c>
    </row>
    <row r="391" spans="5:103" x14ac:dyDescent="0.2">
      <c r="E391">
        <v>0</v>
      </c>
      <c r="F391" t="s">
        <v>155</v>
      </c>
      <c r="G391">
        <v>0</v>
      </c>
      <c r="H391" t="s">
        <v>155</v>
      </c>
      <c r="AL391">
        <v>0</v>
      </c>
      <c r="AM391">
        <v>0.3</v>
      </c>
      <c r="AN391">
        <v>0.3</v>
      </c>
      <c r="AO391">
        <v>0.4</v>
      </c>
      <c r="AP391" t="s">
        <v>268</v>
      </c>
      <c r="AQ391">
        <v>0.3</v>
      </c>
      <c r="AR391">
        <v>0.3</v>
      </c>
      <c r="AS391">
        <v>0.2</v>
      </c>
      <c r="AT391">
        <v>0.2</v>
      </c>
      <c r="AU391" t="s">
        <v>268</v>
      </c>
      <c r="AV391" t="s">
        <v>34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100</v>
      </c>
      <c r="BC391">
        <v>0</v>
      </c>
      <c r="BD391">
        <v>0</v>
      </c>
      <c r="BE391">
        <v>0</v>
      </c>
      <c r="BF391">
        <v>0</v>
      </c>
      <c r="BG391">
        <v>0</v>
      </c>
      <c r="BH391" t="s">
        <v>270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100</v>
      </c>
      <c r="BO391">
        <v>0</v>
      </c>
      <c r="BP391">
        <v>0</v>
      </c>
      <c r="BQ391">
        <v>0</v>
      </c>
      <c r="BR391">
        <v>0</v>
      </c>
      <c r="BS391">
        <v>0</v>
      </c>
      <c r="BT391" t="s">
        <v>271</v>
      </c>
      <c r="BU391">
        <v>100</v>
      </c>
      <c r="BV391">
        <v>0</v>
      </c>
      <c r="BW391" t="s">
        <v>268</v>
      </c>
      <c r="BX391" t="s">
        <v>272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100</v>
      </c>
      <c r="CE391">
        <v>0</v>
      </c>
      <c r="CF391">
        <v>0</v>
      </c>
      <c r="CG391">
        <v>0</v>
      </c>
      <c r="CH391">
        <v>0</v>
      </c>
      <c r="CI391">
        <v>0</v>
      </c>
      <c r="CJ391" t="s">
        <v>273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100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100</v>
      </c>
      <c r="CW391" t="s">
        <v>274</v>
      </c>
      <c r="CX391" t="s">
        <v>268</v>
      </c>
      <c r="CY391">
        <v>0</v>
      </c>
    </row>
    <row r="392" spans="5:103" x14ac:dyDescent="0.2">
      <c r="E392">
        <v>0</v>
      </c>
      <c r="F392" t="s">
        <v>155</v>
      </c>
      <c r="G392">
        <v>0</v>
      </c>
      <c r="H392" t="s">
        <v>155</v>
      </c>
      <c r="AL392">
        <v>0</v>
      </c>
      <c r="AM392">
        <v>0.3</v>
      </c>
      <c r="AN392">
        <v>0.3</v>
      </c>
      <c r="AO392">
        <v>0.4</v>
      </c>
      <c r="AP392" t="s">
        <v>268</v>
      </c>
      <c r="AQ392">
        <v>0.3</v>
      </c>
      <c r="AR392">
        <v>0.3</v>
      </c>
      <c r="AS392">
        <v>0.2</v>
      </c>
      <c r="AT392">
        <v>0.2</v>
      </c>
      <c r="AU392" t="s">
        <v>268</v>
      </c>
      <c r="AV392" t="s">
        <v>34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100</v>
      </c>
      <c r="BC392">
        <v>0</v>
      </c>
      <c r="BD392">
        <v>0</v>
      </c>
      <c r="BE392">
        <v>0</v>
      </c>
      <c r="BF392">
        <v>0</v>
      </c>
      <c r="BG392">
        <v>0</v>
      </c>
      <c r="BH392" t="s">
        <v>270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100</v>
      </c>
      <c r="BO392">
        <v>0</v>
      </c>
      <c r="BP392">
        <v>0</v>
      </c>
      <c r="BQ392">
        <v>0</v>
      </c>
      <c r="BR392">
        <v>0</v>
      </c>
      <c r="BS392">
        <v>0</v>
      </c>
      <c r="BT392" t="s">
        <v>271</v>
      </c>
      <c r="BU392">
        <v>100</v>
      </c>
      <c r="BV392">
        <v>0</v>
      </c>
      <c r="BW392" t="s">
        <v>268</v>
      </c>
      <c r="BX392" t="s">
        <v>272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100</v>
      </c>
      <c r="CE392">
        <v>0</v>
      </c>
      <c r="CF392">
        <v>0</v>
      </c>
      <c r="CG392">
        <v>0</v>
      </c>
      <c r="CH392">
        <v>0</v>
      </c>
      <c r="CI392">
        <v>0</v>
      </c>
      <c r="CJ392" t="s">
        <v>273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100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100</v>
      </c>
      <c r="CW392" t="s">
        <v>274</v>
      </c>
      <c r="CX392" t="s">
        <v>268</v>
      </c>
      <c r="CY392">
        <v>0</v>
      </c>
    </row>
    <row r="393" spans="5:103" x14ac:dyDescent="0.2">
      <c r="E393">
        <v>0</v>
      </c>
      <c r="F393" t="s">
        <v>155</v>
      </c>
      <c r="G393">
        <v>0</v>
      </c>
      <c r="H393" t="s">
        <v>155</v>
      </c>
      <c r="AL393">
        <v>0</v>
      </c>
      <c r="AM393">
        <v>0.3</v>
      </c>
      <c r="AN393">
        <v>0.3</v>
      </c>
      <c r="AO393">
        <v>0.4</v>
      </c>
      <c r="AP393" t="s">
        <v>268</v>
      </c>
      <c r="AQ393">
        <v>0.3</v>
      </c>
      <c r="AR393">
        <v>0.3</v>
      </c>
      <c r="AS393">
        <v>0.2</v>
      </c>
      <c r="AT393">
        <v>0.2</v>
      </c>
      <c r="AU393" t="s">
        <v>268</v>
      </c>
      <c r="AV393" t="s">
        <v>34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100</v>
      </c>
      <c r="BC393">
        <v>0</v>
      </c>
      <c r="BD393">
        <v>0</v>
      </c>
      <c r="BE393">
        <v>0</v>
      </c>
      <c r="BF393">
        <v>0</v>
      </c>
      <c r="BG393">
        <v>0</v>
      </c>
      <c r="BH393" t="s">
        <v>270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100</v>
      </c>
      <c r="BO393">
        <v>0</v>
      </c>
      <c r="BP393">
        <v>0</v>
      </c>
      <c r="BQ393">
        <v>0</v>
      </c>
      <c r="BR393">
        <v>0</v>
      </c>
      <c r="BS393">
        <v>0</v>
      </c>
      <c r="BT393" t="s">
        <v>271</v>
      </c>
      <c r="BU393">
        <v>100</v>
      </c>
      <c r="BV393">
        <v>0</v>
      </c>
      <c r="BW393" t="s">
        <v>268</v>
      </c>
      <c r="BX393" t="s">
        <v>272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100</v>
      </c>
      <c r="CE393">
        <v>0</v>
      </c>
      <c r="CF393">
        <v>0</v>
      </c>
      <c r="CG393">
        <v>0</v>
      </c>
      <c r="CH393">
        <v>0</v>
      </c>
      <c r="CI393">
        <v>0</v>
      </c>
      <c r="CJ393" t="s">
        <v>273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100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100</v>
      </c>
      <c r="CW393" t="s">
        <v>274</v>
      </c>
      <c r="CX393" t="s">
        <v>268</v>
      </c>
      <c r="CY393">
        <v>0</v>
      </c>
    </row>
    <row r="394" spans="5:103" x14ac:dyDescent="0.2">
      <c r="E394">
        <v>0</v>
      </c>
      <c r="F394" t="s">
        <v>155</v>
      </c>
      <c r="G394">
        <v>0</v>
      </c>
      <c r="H394" t="s">
        <v>155</v>
      </c>
      <c r="AL394">
        <v>0</v>
      </c>
      <c r="AM394">
        <v>0.3</v>
      </c>
      <c r="AN394">
        <v>0.3</v>
      </c>
      <c r="AO394">
        <v>0.4</v>
      </c>
      <c r="AP394" t="s">
        <v>268</v>
      </c>
      <c r="AQ394">
        <v>0.3</v>
      </c>
      <c r="AR394">
        <v>0.3</v>
      </c>
      <c r="AS394">
        <v>0.2</v>
      </c>
      <c r="AT394">
        <v>0.2</v>
      </c>
      <c r="AU394" t="s">
        <v>268</v>
      </c>
      <c r="AV394" t="s">
        <v>34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100</v>
      </c>
      <c r="BC394">
        <v>0</v>
      </c>
      <c r="BD394">
        <v>0</v>
      </c>
      <c r="BE394">
        <v>0</v>
      </c>
      <c r="BF394">
        <v>0</v>
      </c>
      <c r="BG394">
        <v>0</v>
      </c>
      <c r="BH394" t="s">
        <v>270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100</v>
      </c>
      <c r="BO394">
        <v>0</v>
      </c>
      <c r="BP394">
        <v>0</v>
      </c>
      <c r="BQ394">
        <v>0</v>
      </c>
      <c r="BR394">
        <v>0</v>
      </c>
      <c r="BS394">
        <v>0</v>
      </c>
      <c r="BT394" t="s">
        <v>271</v>
      </c>
      <c r="BU394">
        <v>100</v>
      </c>
      <c r="BV394">
        <v>0</v>
      </c>
      <c r="BW394" t="s">
        <v>268</v>
      </c>
      <c r="BX394" t="s">
        <v>272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100</v>
      </c>
      <c r="CE394">
        <v>0</v>
      </c>
      <c r="CF394">
        <v>0</v>
      </c>
      <c r="CG394">
        <v>0</v>
      </c>
      <c r="CH394">
        <v>0</v>
      </c>
      <c r="CI394">
        <v>0</v>
      </c>
      <c r="CJ394" t="s">
        <v>273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100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100</v>
      </c>
      <c r="CW394" t="s">
        <v>274</v>
      </c>
      <c r="CX394" t="s">
        <v>268</v>
      </c>
      <c r="CY394">
        <v>0</v>
      </c>
    </row>
    <row r="395" spans="5:103" x14ac:dyDescent="0.2">
      <c r="E395">
        <v>0</v>
      </c>
      <c r="F395" t="s">
        <v>155</v>
      </c>
      <c r="G395">
        <v>0</v>
      </c>
      <c r="H395" t="s">
        <v>155</v>
      </c>
      <c r="AL395">
        <v>0</v>
      </c>
      <c r="AM395">
        <v>0.3</v>
      </c>
      <c r="AN395">
        <v>0.3</v>
      </c>
      <c r="AO395">
        <v>0.4</v>
      </c>
      <c r="AP395" t="s">
        <v>268</v>
      </c>
      <c r="AQ395">
        <v>0.3</v>
      </c>
      <c r="AR395">
        <v>0.3</v>
      </c>
      <c r="AS395">
        <v>0.2</v>
      </c>
      <c r="AT395">
        <v>0.2</v>
      </c>
      <c r="AU395" t="s">
        <v>268</v>
      </c>
      <c r="AV395" t="s">
        <v>34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100</v>
      </c>
      <c r="BC395">
        <v>0</v>
      </c>
      <c r="BD395">
        <v>0</v>
      </c>
      <c r="BE395">
        <v>0</v>
      </c>
      <c r="BF395">
        <v>0</v>
      </c>
      <c r="BG395">
        <v>0</v>
      </c>
      <c r="BH395" t="s">
        <v>270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100</v>
      </c>
      <c r="BO395">
        <v>0</v>
      </c>
      <c r="BP395">
        <v>0</v>
      </c>
      <c r="BQ395">
        <v>0</v>
      </c>
      <c r="BR395">
        <v>0</v>
      </c>
      <c r="BS395">
        <v>0</v>
      </c>
      <c r="BT395" t="s">
        <v>271</v>
      </c>
      <c r="BU395">
        <v>100</v>
      </c>
      <c r="BV395">
        <v>0</v>
      </c>
      <c r="BW395" t="s">
        <v>268</v>
      </c>
      <c r="BX395" t="s">
        <v>272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100</v>
      </c>
      <c r="CE395">
        <v>0</v>
      </c>
      <c r="CF395">
        <v>0</v>
      </c>
      <c r="CG395">
        <v>0</v>
      </c>
      <c r="CH395">
        <v>0</v>
      </c>
      <c r="CI395">
        <v>0</v>
      </c>
      <c r="CJ395" t="s">
        <v>273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100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100</v>
      </c>
      <c r="CW395" t="s">
        <v>274</v>
      </c>
      <c r="CX395" t="s">
        <v>268</v>
      </c>
      <c r="CY395">
        <v>0</v>
      </c>
    </row>
    <row r="396" spans="5:103" x14ac:dyDescent="0.2">
      <c r="E396">
        <v>0</v>
      </c>
      <c r="F396" t="s">
        <v>155</v>
      </c>
      <c r="G396">
        <v>0</v>
      </c>
      <c r="H396" t="s">
        <v>155</v>
      </c>
      <c r="AL396">
        <v>0</v>
      </c>
      <c r="AM396">
        <v>0.3</v>
      </c>
      <c r="AN396">
        <v>0.3</v>
      </c>
      <c r="AO396">
        <v>0.4</v>
      </c>
      <c r="AP396" t="s">
        <v>268</v>
      </c>
      <c r="AQ396">
        <v>0.3</v>
      </c>
      <c r="AR396">
        <v>0.3</v>
      </c>
      <c r="AS396">
        <v>0.2</v>
      </c>
      <c r="AT396">
        <v>0.2</v>
      </c>
      <c r="AU396" t="s">
        <v>268</v>
      </c>
      <c r="AV396" t="s">
        <v>34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100</v>
      </c>
      <c r="BC396">
        <v>0</v>
      </c>
      <c r="BD396">
        <v>0</v>
      </c>
      <c r="BE396">
        <v>0</v>
      </c>
      <c r="BF396">
        <v>0</v>
      </c>
      <c r="BG396">
        <v>0</v>
      </c>
      <c r="BH396" t="s">
        <v>270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100</v>
      </c>
      <c r="BO396">
        <v>0</v>
      </c>
      <c r="BP396">
        <v>0</v>
      </c>
      <c r="BQ396">
        <v>0</v>
      </c>
      <c r="BR396">
        <v>0</v>
      </c>
      <c r="BS396">
        <v>0</v>
      </c>
      <c r="BT396" t="s">
        <v>271</v>
      </c>
      <c r="BU396">
        <v>100</v>
      </c>
      <c r="BV396">
        <v>0</v>
      </c>
      <c r="BW396" t="s">
        <v>268</v>
      </c>
      <c r="BX396" t="s">
        <v>272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100</v>
      </c>
      <c r="CE396">
        <v>0</v>
      </c>
      <c r="CF396">
        <v>0</v>
      </c>
      <c r="CG396">
        <v>0</v>
      </c>
      <c r="CH396">
        <v>0</v>
      </c>
      <c r="CI396">
        <v>0</v>
      </c>
      <c r="CJ396" t="s">
        <v>273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100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100</v>
      </c>
      <c r="CW396" t="s">
        <v>274</v>
      </c>
      <c r="CX396" t="s">
        <v>268</v>
      </c>
      <c r="CY396">
        <v>0</v>
      </c>
    </row>
    <row r="397" spans="5:103" x14ac:dyDescent="0.2">
      <c r="E397">
        <v>0</v>
      </c>
      <c r="F397" t="s">
        <v>155</v>
      </c>
      <c r="G397">
        <v>0</v>
      </c>
      <c r="H397" t="s">
        <v>155</v>
      </c>
      <c r="AL397">
        <v>0</v>
      </c>
      <c r="AM397">
        <v>0.3</v>
      </c>
      <c r="AN397">
        <v>0.3</v>
      </c>
      <c r="AO397">
        <v>0.4</v>
      </c>
      <c r="AP397" t="s">
        <v>268</v>
      </c>
      <c r="AQ397">
        <v>0.3</v>
      </c>
      <c r="AR397">
        <v>0.3</v>
      </c>
      <c r="AS397">
        <v>0.2</v>
      </c>
      <c r="AT397">
        <v>0.2</v>
      </c>
      <c r="AU397" t="s">
        <v>268</v>
      </c>
      <c r="AV397" t="s">
        <v>34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100</v>
      </c>
      <c r="BC397">
        <v>0</v>
      </c>
      <c r="BD397">
        <v>0</v>
      </c>
      <c r="BE397">
        <v>0</v>
      </c>
      <c r="BF397">
        <v>0</v>
      </c>
      <c r="BG397">
        <v>0</v>
      </c>
      <c r="BH397" t="s">
        <v>270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100</v>
      </c>
      <c r="BO397">
        <v>0</v>
      </c>
      <c r="BP397">
        <v>0</v>
      </c>
      <c r="BQ397">
        <v>0</v>
      </c>
      <c r="BR397">
        <v>0</v>
      </c>
      <c r="BS397">
        <v>0</v>
      </c>
      <c r="BT397" t="s">
        <v>271</v>
      </c>
      <c r="BU397">
        <v>100</v>
      </c>
      <c r="BV397">
        <v>0</v>
      </c>
      <c r="BW397" t="s">
        <v>268</v>
      </c>
      <c r="BX397" t="s">
        <v>272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100</v>
      </c>
      <c r="CE397">
        <v>0</v>
      </c>
      <c r="CF397">
        <v>0</v>
      </c>
      <c r="CG397">
        <v>0</v>
      </c>
      <c r="CH397">
        <v>0</v>
      </c>
      <c r="CI397">
        <v>0</v>
      </c>
      <c r="CJ397" t="s">
        <v>273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100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100</v>
      </c>
      <c r="CW397" t="s">
        <v>274</v>
      </c>
      <c r="CX397" t="s">
        <v>268</v>
      </c>
      <c r="CY397">
        <v>0</v>
      </c>
    </row>
    <row r="398" spans="5:103" x14ac:dyDescent="0.2">
      <c r="E398">
        <v>0</v>
      </c>
      <c r="F398" t="s">
        <v>155</v>
      </c>
      <c r="G398">
        <v>0</v>
      </c>
      <c r="H398" t="s">
        <v>155</v>
      </c>
      <c r="AL398">
        <v>0</v>
      </c>
      <c r="AM398">
        <v>0.3</v>
      </c>
      <c r="AN398">
        <v>0.3</v>
      </c>
      <c r="AO398">
        <v>0.4</v>
      </c>
      <c r="AP398" t="s">
        <v>268</v>
      </c>
      <c r="AQ398">
        <v>0.3</v>
      </c>
      <c r="AR398">
        <v>0.3</v>
      </c>
      <c r="AS398">
        <v>0.2</v>
      </c>
      <c r="AT398">
        <v>0.2</v>
      </c>
      <c r="AU398" t="s">
        <v>268</v>
      </c>
      <c r="AV398" t="s">
        <v>34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100</v>
      </c>
      <c r="BC398">
        <v>0</v>
      </c>
      <c r="BD398">
        <v>0</v>
      </c>
      <c r="BE398">
        <v>0</v>
      </c>
      <c r="BF398">
        <v>0</v>
      </c>
      <c r="BG398">
        <v>0</v>
      </c>
      <c r="BH398" t="s">
        <v>270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100</v>
      </c>
      <c r="BO398">
        <v>0</v>
      </c>
      <c r="BP398">
        <v>0</v>
      </c>
      <c r="BQ398">
        <v>0</v>
      </c>
      <c r="BR398">
        <v>0</v>
      </c>
      <c r="BS398">
        <v>0</v>
      </c>
      <c r="BT398" t="s">
        <v>271</v>
      </c>
      <c r="BU398">
        <v>100</v>
      </c>
      <c r="BV398">
        <v>0</v>
      </c>
      <c r="BW398" t="s">
        <v>268</v>
      </c>
      <c r="BX398" t="s">
        <v>272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100</v>
      </c>
      <c r="CE398">
        <v>0</v>
      </c>
      <c r="CF398">
        <v>0</v>
      </c>
      <c r="CG398">
        <v>0</v>
      </c>
      <c r="CH398">
        <v>0</v>
      </c>
      <c r="CI398">
        <v>0</v>
      </c>
      <c r="CJ398" t="s">
        <v>273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100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100</v>
      </c>
      <c r="CW398" t="s">
        <v>274</v>
      </c>
      <c r="CX398" t="s">
        <v>268</v>
      </c>
      <c r="CY398">
        <v>0</v>
      </c>
    </row>
    <row r="399" spans="5:103" x14ac:dyDescent="0.2">
      <c r="E399">
        <v>0</v>
      </c>
      <c r="F399" t="s">
        <v>155</v>
      </c>
      <c r="G399">
        <v>0</v>
      </c>
      <c r="H399" t="s">
        <v>155</v>
      </c>
      <c r="AL399">
        <v>0</v>
      </c>
      <c r="AM399">
        <v>0.3</v>
      </c>
      <c r="AN399">
        <v>0.3</v>
      </c>
      <c r="AO399">
        <v>0.4</v>
      </c>
      <c r="AP399" t="s">
        <v>268</v>
      </c>
      <c r="AQ399">
        <v>0.3</v>
      </c>
      <c r="AR399">
        <v>0.3</v>
      </c>
      <c r="AS399">
        <v>0.2</v>
      </c>
      <c r="AT399">
        <v>0.2</v>
      </c>
      <c r="AU399" t="s">
        <v>268</v>
      </c>
      <c r="AV399" t="s">
        <v>34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100</v>
      </c>
      <c r="BC399">
        <v>0</v>
      </c>
      <c r="BD399">
        <v>0</v>
      </c>
      <c r="BE399">
        <v>0</v>
      </c>
      <c r="BF399">
        <v>0</v>
      </c>
      <c r="BG399">
        <v>0</v>
      </c>
      <c r="BH399" t="s">
        <v>270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100</v>
      </c>
      <c r="BO399">
        <v>0</v>
      </c>
      <c r="BP399">
        <v>0</v>
      </c>
      <c r="BQ399">
        <v>0</v>
      </c>
      <c r="BR399">
        <v>0</v>
      </c>
      <c r="BS399">
        <v>0</v>
      </c>
      <c r="BT399" t="s">
        <v>271</v>
      </c>
      <c r="BU399">
        <v>100</v>
      </c>
      <c r="BV399">
        <v>0</v>
      </c>
      <c r="BW399" t="s">
        <v>268</v>
      </c>
      <c r="BX399" t="s">
        <v>272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100</v>
      </c>
      <c r="CE399">
        <v>0</v>
      </c>
      <c r="CF399">
        <v>0</v>
      </c>
      <c r="CG399">
        <v>0</v>
      </c>
      <c r="CH399">
        <v>0</v>
      </c>
      <c r="CI399">
        <v>0</v>
      </c>
      <c r="CJ399" t="s">
        <v>273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100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100</v>
      </c>
      <c r="CW399" t="s">
        <v>274</v>
      </c>
      <c r="CX399" t="s">
        <v>268</v>
      </c>
      <c r="CY399">
        <v>0</v>
      </c>
    </row>
    <row r="400" spans="5:103" x14ac:dyDescent="0.2">
      <c r="E400">
        <v>0</v>
      </c>
      <c r="F400" t="s">
        <v>155</v>
      </c>
      <c r="G400">
        <v>0</v>
      </c>
      <c r="H400" t="s">
        <v>155</v>
      </c>
      <c r="AL400">
        <v>0</v>
      </c>
      <c r="AM400">
        <v>0.3</v>
      </c>
      <c r="AN400">
        <v>0.3</v>
      </c>
      <c r="AO400">
        <v>0.4</v>
      </c>
      <c r="AP400" t="s">
        <v>268</v>
      </c>
      <c r="AQ400">
        <v>0.3</v>
      </c>
      <c r="AR400">
        <v>0.3</v>
      </c>
      <c r="AS400">
        <v>0.2</v>
      </c>
      <c r="AT400">
        <v>0.2</v>
      </c>
      <c r="AU400" t="s">
        <v>268</v>
      </c>
      <c r="AV400" t="s">
        <v>34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100</v>
      </c>
      <c r="BC400">
        <v>0</v>
      </c>
      <c r="BD400">
        <v>0</v>
      </c>
      <c r="BE400">
        <v>0</v>
      </c>
      <c r="BF400">
        <v>0</v>
      </c>
      <c r="BG400">
        <v>0</v>
      </c>
      <c r="BH400" t="s">
        <v>270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100</v>
      </c>
      <c r="BO400">
        <v>0</v>
      </c>
      <c r="BP400">
        <v>0</v>
      </c>
      <c r="BQ400">
        <v>0</v>
      </c>
      <c r="BR400">
        <v>0</v>
      </c>
      <c r="BS400">
        <v>0</v>
      </c>
      <c r="BT400" t="s">
        <v>271</v>
      </c>
      <c r="BU400">
        <v>100</v>
      </c>
      <c r="BV400">
        <v>0</v>
      </c>
      <c r="BW400" t="s">
        <v>268</v>
      </c>
      <c r="BX400" t="s">
        <v>272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100</v>
      </c>
      <c r="CE400">
        <v>0</v>
      </c>
      <c r="CF400">
        <v>0</v>
      </c>
      <c r="CG400">
        <v>0</v>
      </c>
      <c r="CH400">
        <v>0</v>
      </c>
      <c r="CI400">
        <v>0</v>
      </c>
      <c r="CJ400" t="s">
        <v>273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100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100</v>
      </c>
      <c r="CW400" t="s">
        <v>274</v>
      </c>
      <c r="CX400" t="s">
        <v>268</v>
      </c>
      <c r="CY400">
        <v>0</v>
      </c>
    </row>
    <row r="401" spans="5:103" x14ac:dyDescent="0.2">
      <c r="E401">
        <v>0</v>
      </c>
      <c r="F401" t="s">
        <v>155</v>
      </c>
      <c r="G401">
        <v>0</v>
      </c>
      <c r="H401" t="s">
        <v>155</v>
      </c>
      <c r="AL401">
        <v>0</v>
      </c>
      <c r="AM401">
        <v>0.3</v>
      </c>
      <c r="AN401">
        <v>0.3</v>
      </c>
      <c r="AO401">
        <v>0.4</v>
      </c>
      <c r="AP401" t="s">
        <v>268</v>
      </c>
      <c r="AQ401">
        <v>0.3</v>
      </c>
      <c r="AR401">
        <v>0.3</v>
      </c>
      <c r="AS401">
        <v>0.2</v>
      </c>
      <c r="AT401">
        <v>0.2</v>
      </c>
      <c r="AU401" t="s">
        <v>268</v>
      </c>
      <c r="AV401" t="s">
        <v>34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100</v>
      </c>
      <c r="BC401">
        <v>0</v>
      </c>
      <c r="BD401">
        <v>0</v>
      </c>
      <c r="BE401">
        <v>0</v>
      </c>
      <c r="BF401">
        <v>0</v>
      </c>
      <c r="BG401">
        <v>0</v>
      </c>
      <c r="BH401" t="s">
        <v>270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100</v>
      </c>
      <c r="BO401">
        <v>0</v>
      </c>
      <c r="BP401">
        <v>0</v>
      </c>
      <c r="BQ401">
        <v>0</v>
      </c>
      <c r="BR401">
        <v>0</v>
      </c>
      <c r="BS401">
        <v>0</v>
      </c>
      <c r="BT401" t="s">
        <v>271</v>
      </c>
      <c r="BU401">
        <v>100</v>
      </c>
      <c r="BV401">
        <v>0</v>
      </c>
      <c r="BW401" t="s">
        <v>268</v>
      </c>
      <c r="BX401" t="s">
        <v>272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100</v>
      </c>
      <c r="CE401">
        <v>0</v>
      </c>
      <c r="CF401">
        <v>0</v>
      </c>
      <c r="CG401">
        <v>0</v>
      </c>
      <c r="CH401">
        <v>0</v>
      </c>
      <c r="CI401">
        <v>0</v>
      </c>
      <c r="CJ401" t="s">
        <v>273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100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100</v>
      </c>
      <c r="CW401" t="s">
        <v>274</v>
      </c>
      <c r="CX401" t="s">
        <v>268</v>
      </c>
      <c r="CY401">
        <v>0</v>
      </c>
    </row>
    <row r="402" spans="5:103" x14ac:dyDescent="0.2">
      <c r="E402">
        <v>0</v>
      </c>
      <c r="F402" t="s">
        <v>155</v>
      </c>
      <c r="G402">
        <v>0</v>
      </c>
      <c r="H402" t="s">
        <v>155</v>
      </c>
      <c r="AL402">
        <v>0</v>
      </c>
      <c r="AM402">
        <v>0.3</v>
      </c>
      <c r="AN402">
        <v>0.3</v>
      </c>
      <c r="AO402">
        <v>0.4</v>
      </c>
      <c r="AP402" t="s">
        <v>268</v>
      </c>
      <c r="AQ402">
        <v>0.3</v>
      </c>
      <c r="AR402">
        <v>0.3</v>
      </c>
      <c r="AS402">
        <v>0.2</v>
      </c>
      <c r="AT402">
        <v>0.2</v>
      </c>
      <c r="AU402" t="s">
        <v>268</v>
      </c>
      <c r="AV402" t="s">
        <v>34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100</v>
      </c>
      <c r="BC402">
        <v>0</v>
      </c>
      <c r="BD402">
        <v>0</v>
      </c>
      <c r="BE402">
        <v>0</v>
      </c>
      <c r="BF402">
        <v>0</v>
      </c>
      <c r="BG402">
        <v>0</v>
      </c>
      <c r="BH402" t="s">
        <v>270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100</v>
      </c>
      <c r="BO402">
        <v>0</v>
      </c>
      <c r="BP402">
        <v>0</v>
      </c>
      <c r="BQ402">
        <v>0</v>
      </c>
      <c r="BR402">
        <v>0</v>
      </c>
      <c r="BS402">
        <v>0</v>
      </c>
      <c r="BT402" t="s">
        <v>271</v>
      </c>
      <c r="BU402">
        <v>100</v>
      </c>
      <c r="BV402">
        <v>0</v>
      </c>
      <c r="BW402" t="s">
        <v>268</v>
      </c>
      <c r="BX402" t="s">
        <v>272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100</v>
      </c>
      <c r="CE402">
        <v>0</v>
      </c>
      <c r="CF402">
        <v>0</v>
      </c>
      <c r="CG402">
        <v>0</v>
      </c>
      <c r="CH402">
        <v>0</v>
      </c>
      <c r="CI402">
        <v>0</v>
      </c>
      <c r="CJ402" t="s">
        <v>273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100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100</v>
      </c>
      <c r="CW402" t="s">
        <v>274</v>
      </c>
      <c r="CX402" t="s">
        <v>268</v>
      </c>
      <c r="CY402">
        <v>0</v>
      </c>
    </row>
    <row r="403" spans="5:103" x14ac:dyDescent="0.2">
      <c r="E403">
        <v>0</v>
      </c>
      <c r="F403" t="s">
        <v>155</v>
      </c>
      <c r="G403">
        <v>0</v>
      </c>
      <c r="H403" t="s">
        <v>155</v>
      </c>
      <c r="AL403">
        <v>0</v>
      </c>
      <c r="AM403">
        <v>0.3</v>
      </c>
      <c r="AN403">
        <v>0.3</v>
      </c>
      <c r="AO403">
        <v>0.4</v>
      </c>
      <c r="AP403" t="s">
        <v>268</v>
      </c>
      <c r="AQ403">
        <v>0.3</v>
      </c>
      <c r="AR403">
        <v>0.3</v>
      </c>
      <c r="AS403">
        <v>0.2</v>
      </c>
      <c r="AT403">
        <v>0.2</v>
      </c>
      <c r="AU403" t="s">
        <v>268</v>
      </c>
      <c r="AV403" t="s">
        <v>34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100</v>
      </c>
      <c r="BC403">
        <v>0</v>
      </c>
      <c r="BD403">
        <v>0</v>
      </c>
      <c r="BE403">
        <v>0</v>
      </c>
      <c r="BF403">
        <v>0</v>
      </c>
      <c r="BG403">
        <v>0</v>
      </c>
      <c r="BH403" t="s">
        <v>270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100</v>
      </c>
      <c r="BO403">
        <v>0</v>
      </c>
      <c r="BP403">
        <v>0</v>
      </c>
      <c r="BQ403">
        <v>0</v>
      </c>
      <c r="BR403">
        <v>0</v>
      </c>
      <c r="BS403">
        <v>0</v>
      </c>
      <c r="BT403" t="s">
        <v>271</v>
      </c>
      <c r="BU403">
        <v>100</v>
      </c>
      <c r="BV403">
        <v>0</v>
      </c>
      <c r="BW403" t="s">
        <v>268</v>
      </c>
      <c r="BX403" t="s">
        <v>272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100</v>
      </c>
      <c r="CE403">
        <v>0</v>
      </c>
      <c r="CF403">
        <v>0</v>
      </c>
      <c r="CG403">
        <v>0</v>
      </c>
      <c r="CH403">
        <v>0</v>
      </c>
      <c r="CI403">
        <v>0</v>
      </c>
      <c r="CJ403" t="s">
        <v>273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100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100</v>
      </c>
      <c r="CW403" t="s">
        <v>274</v>
      </c>
      <c r="CX403" t="s">
        <v>268</v>
      </c>
      <c r="CY403">
        <v>0</v>
      </c>
    </row>
    <row r="404" spans="5:103" x14ac:dyDescent="0.2">
      <c r="E404">
        <v>0</v>
      </c>
      <c r="F404" t="s">
        <v>155</v>
      </c>
      <c r="G404">
        <v>0</v>
      </c>
      <c r="H404" t="s">
        <v>155</v>
      </c>
      <c r="AL404">
        <v>0</v>
      </c>
      <c r="AM404">
        <v>0.3</v>
      </c>
      <c r="AN404">
        <v>0.3</v>
      </c>
      <c r="AO404">
        <v>0.4</v>
      </c>
      <c r="AP404" t="s">
        <v>268</v>
      </c>
      <c r="AQ404">
        <v>0.3</v>
      </c>
      <c r="AR404">
        <v>0.3</v>
      </c>
      <c r="AS404">
        <v>0.2</v>
      </c>
      <c r="AT404">
        <v>0.2</v>
      </c>
      <c r="AU404" t="s">
        <v>268</v>
      </c>
      <c r="AV404" t="s">
        <v>34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100</v>
      </c>
      <c r="BC404">
        <v>0</v>
      </c>
      <c r="BD404">
        <v>0</v>
      </c>
      <c r="BE404">
        <v>0</v>
      </c>
      <c r="BF404">
        <v>0</v>
      </c>
      <c r="BG404">
        <v>0</v>
      </c>
      <c r="BH404" t="s">
        <v>270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100</v>
      </c>
      <c r="BO404">
        <v>0</v>
      </c>
      <c r="BP404">
        <v>0</v>
      </c>
      <c r="BQ404">
        <v>0</v>
      </c>
      <c r="BR404">
        <v>0</v>
      </c>
      <c r="BS404">
        <v>0</v>
      </c>
      <c r="BT404" t="s">
        <v>271</v>
      </c>
      <c r="BU404">
        <v>100</v>
      </c>
      <c r="BV404">
        <v>0</v>
      </c>
      <c r="BW404" t="s">
        <v>268</v>
      </c>
      <c r="BX404" t="s">
        <v>272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100</v>
      </c>
      <c r="CE404">
        <v>0</v>
      </c>
      <c r="CF404">
        <v>0</v>
      </c>
      <c r="CG404">
        <v>0</v>
      </c>
      <c r="CH404">
        <v>0</v>
      </c>
      <c r="CI404">
        <v>0</v>
      </c>
      <c r="CJ404" t="s">
        <v>273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100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100</v>
      </c>
      <c r="CW404" t="s">
        <v>274</v>
      </c>
      <c r="CX404" t="s">
        <v>268</v>
      </c>
      <c r="CY404">
        <v>0</v>
      </c>
    </row>
    <row r="405" spans="5:103" x14ac:dyDescent="0.2">
      <c r="E405">
        <v>0</v>
      </c>
      <c r="F405" t="s">
        <v>155</v>
      </c>
      <c r="G405">
        <v>0</v>
      </c>
      <c r="H405" t="s">
        <v>155</v>
      </c>
      <c r="AL405">
        <v>0</v>
      </c>
      <c r="AM405">
        <v>0.3</v>
      </c>
      <c r="AN405">
        <v>0.3</v>
      </c>
      <c r="AO405">
        <v>0.4</v>
      </c>
      <c r="AP405" t="s">
        <v>268</v>
      </c>
      <c r="AQ405">
        <v>0.3</v>
      </c>
      <c r="AR405">
        <v>0.3</v>
      </c>
      <c r="AS405">
        <v>0.2</v>
      </c>
      <c r="AT405">
        <v>0.2</v>
      </c>
      <c r="AU405" t="s">
        <v>268</v>
      </c>
      <c r="AV405" t="s">
        <v>34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100</v>
      </c>
      <c r="BC405">
        <v>0</v>
      </c>
      <c r="BD405">
        <v>0</v>
      </c>
      <c r="BE405">
        <v>0</v>
      </c>
      <c r="BF405">
        <v>0</v>
      </c>
      <c r="BG405">
        <v>0</v>
      </c>
      <c r="BH405" t="s">
        <v>270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100</v>
      </c>
      <c r="BO405">
        <v>0</v>
      </c>
      <c r="BP405">
        <v>0</v>
      </c>
      <c r="BQ405">
        <v>0</v>
      </c>
      <c r="BR405">
        <v>0</v>
      </c>
      <c r="BS405">
        <v>0</v>
      </c>
      <c r="BT405" t="s">
        <v>271</v>
      </c>
      <c r="BU405">
        <v>100</v>
      </c>
      <c r="BV405">
        <v>0</v>
      </c>
      <c r="BW405" t="s">
        <v>268</v>
      </c>
      <c r="BX405" t="s">
        <v>272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100</v>
      </c>
      <c r="CE405">
        <v>0</v>
      </c>
      <c r="CF405">
        <v>0</v>
      </c>
      <c r="CG405">
        <v>0</v>
      </c>
      <c r="CH405">
        <v>0</v>
      </c>
      <c r="CI405">
        <v>0</v>
      </c>
      <c r="CJ405" t="s">
        <v>273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100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100</v>
      </c>
      <c r="CW405" t="s">
        <v>274</v>
      </c>
      <c r="CX405" t="s">
        <v>268</v>
      </c>
      <c r="CY405">
        <v>0</v>
      </c>
    </row>
    <row r="406" spans="5:103" x14ac:dyDescent="0.2">
      <c r="E406">
        <v>0</v>
      </c>
      <c r="F406" t="s">
        <v>155</v>
      </c>
      <c r="G406">
        <v>0</v>
      </c>
      <c r="H406" t="s">
        <v>155</v>
      </c>
      <c r="AL406">
        <v>0</v>
      </c>
      <c r="AM406">
        <v>0.3</v>
      </c>
      <c r="AN406">
        <v>0.3</v>
      </c>
      <c r="AO406">
        <v>0.4</v>
      </c>
      <c r="AP406" t="s">
        <v>268</v>
      </c>
      <c r="AQ406">
        <v>0.3</v>
      </c>
      <c r="AR406">
        <v>0.3</v>
      </c>
      <c r="AS406">
        <v>0.2</v>
      </c>
      <c r="AT406">
        <v>0.2</v>
      </c>
      <c r="AU406" t="s">
        <v>268</v>
      </c>
      <c r="AV406" t="s">
        <v>34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100</v>
      </c>
      <c r="BC406">
        <v>0</v>
      </c>
      <c r="BD406">
        <v>0</v>
      </c>
      <c r="BE406">
        <v>0</v>
      </c>
      <c r="BF406">
        <v>0</v>
      </c>
      <c r="BG406">
        <v>0</v>
      </c>
      <c r="BH406" t="s">
        <v>270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100</v>
      </c>
      <c r="BO406">
        <v>0</v>
      </c>
      <c r="BP406">
        <v>0</v>
      </c>
      <c r="BQ406">
        <v>0</v>
      </c>
      <c r="BR406">
        <v>0</v>
      </c>
      <c r="BS406">
        <v>0</v>
      </c>
      <c r="BT406" t="s">
        <v>271</v>
      </c>
      <c r="BU406">
        <v>100</v>
      </c>
      <c r="BV406">
        <v>0</v>
      </c>
      <c r="BW406" t="s">
        <v>268</v>
      </c>
      <c r="BX406" t="s">
        <v>272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100</v>
      </c>
      <c r="CE406">
        <v>0</v>
      </c>
      <c r="CF406">
        <v>0</v>
      </c>
      <c r="CG406">
        <v>0</v>
      </c>
      <c r="CH406">
        <v>0</v>
      </c>
      <c r="CI406">
        <v>0</v>
      </c>
      <c r="CJ406" t="s">
        <v>273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100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100</v>
      </c>
      <c r="CW406" t="s">
        <v>274</v>
      </c>
      <c r="CX406" t="s">
        <v>268</v>
      </c>
      <c r="CY406">
        <v>0</v>
      </c>
    </row>
    <row r="407" spans="5:103" x14ac:dyDescent="0.2">
      <c r="E407">
        <v>0</v>
      </c>
      <c r="F407" t="s">
        <v>155</v>
      </c>
      <c r="G407">
        <v>0</v>
      </c>
      <c r="H407" t="s">
        <v>155</v>
      </c>
      <c r="AL407">
        <v>0</v>
      </c>
      <c r="AM407">
        <v>0.3</v>
      </c>
      <c r="AN407">
        <v>0.3</v>
      </c>
      <c r="AO407">
        <v>0.4</v>
      </c>
      <c r="AP407" t="s">
        <v>268</v>
      </c>
      <c r="AQ407">
        <v>0.3</v>
      </c>
      <c r="AR407">
        <v>0.3</v>
      </c>
      <c r="AS407">
        <v>0.2</v>
      </c>
      <c r="AT407">
        <v>0.2</v>
      </c>
      <c r="AU407" t="s">
        <v>268</v>
      </c>
      <c r="AV407" t="s">
        <v>34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100</v>
      </c>
      <c r="BC407">
        <v>0</v>
      </c>
      <c r="BD407">
        <v>0</v>
      </c>
      <c r="BE407">
        <v>0</v>
      </c>
      <c r="BF407">
        <v>0</v>
      </c>
      <c r="BG407">
        <v>0</v>
      </c>
      <c r="BH407" t="s">
        <v>270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100</v>
      </c>
      <c r="BO407">
        <v>0</v>
      </c>
      <c r="BP407">
        <v>0</v>
      </c>
      <c r="BQ407">
        <v>0</v>
      </c>
      <c r="BR407">
        <v>0</v>
      </c>
      <c r="BS407">
        <v>0</v>
      </c>
      <c r="BT407" t="s">
        <v>271</v>
      </c>
      <c r="BU407">
        <v>100</v>
      </c>
      <c r="BV407">
        <v>0</v>
      </c>
      <c r="BW407" t="s">
        <v>268</v>
      </c>
      <c r="BX407" t="s">
        <v>272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100</v>
      </c>
      <c r="CE407">
        <v>0</v>
      </c>
      <c r="CF407">
        <v>0</v>
      </c>
      <c r="CG407">
        <v>0</v>
      </c>
      <c r="CH407">
        <v>0</v>
      </c>
      <c r="CI407">
        <v>0</v>
      </c>
      <c r="CJ407" t="s">
        <v>273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100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100</v>
      </c>
      <c r="CW407" t="s">
        <v>274</v>
      </c>
      <c r="CX407" t="s">
        <v>268</v>
      </c>
      <c r="CY407">
        <v>0</v>
      </c>
    </row>
    <row r="408" spans="5:103" x14ac:dyDescent="0.2">
      <c r="E408">
        <v>0</v>
      </c>
      <c r="F408" t="s">
        <v>155</v>
      </c>
      <c r="G408">
        <v>0</v>
      </c>
      <c r="H408" t="s">
        <v>155</v>
      </c>
      <c r="AL408">
        <v>0</v>
      </c>
      <c r="AM408">
        <v>0.3</v>
      </c>
      <c r="AN408">
        <v>0.3</v>
      </c>
      <c r="AO408">
        <v>0.4</v>
      </c>
      <c r="AP408" t="s">
        <v>268</v>
      </c>
      <c r="AQ408">
        <v>0.3</v>
      </c>
      <c r="AR408">
        <v>0.3</v>
      </c>
      <c r="AS408">
        <v>0.2</v>
      </c>
      <c r="AT408">
        <v>0.2</v>
      </c>
      <c r="AU408" t="s">
        <v>268</v>
      </c>
      <c r="AV408" t="s">
        <v>34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100</v>
      </c>
      <c r="BC408">
        <v>0</v>
      </c>
      <c r="BD408">
        <v>0</v>
      </c>
      <c r="BE408">
        <v>0</v>
      </c>
      <c r="BF408">
        <v>0</v>
      </c>
      <c r="BG408">
        <v>0</v>
      </c>
      <c r="BH408" t="s">
        <v>270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100</v>
      </c>
      <c r="BO408">
        <v>0</v>
      </c>
      <c r="BP408">
        <v>0</v>
      </c>
      <c r="BQ408">
        <v>0</v>
      </c>
      <c r="BR408">
        <v>0</v>
      </c>
      <c r="BS408">
        <v>0</v>
      </c>
      <c r="BT408" t="s">
        <v>271</v>
      </c>
      <c r="BU408">
        <v>100</v>
      </c>
      <c r="BV408">
        <v>0</v>
      </c>
      <c r="BW408" t="s">
        <v>268</v>
      </c>
      <c r="BX408" t="s">
        <v>272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100</v>
      </c>
      <c r="CE408">
        <v>0</v>
      </c>
      <c r="CF408">
        <v>0</v>
      </c>
      <c r="CG408">
        <v>0</v>
      </c>
      <c r="CH408">
        <v>0</v>
      </c>
      <c r="CI408">
        <v>0</v>
      </c>
      <c r="CJ408" t="s">
        <v>273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100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100</v>
      </c>
      <c r="CW408" t="s">
        <v>274</v>
      </c>
      <c r="CX408" t="s">
        <v>268</v>
      </c>
      <c r="CY408">
        <v>0</v>
      </c>
    </row>
    <row r="409" spans="5:103" x14ac:dyDescent="0.2">
      <c r="E409">
        <v>0</v>
      </c>
      <c r="F409" t="s">
        <v>155</v>
      </c>
      <c r="G409">
        <v>0</v>
      </c>
      <c r="H409" t="s">
        <v>155</v>
      </c>
      <c r="AL409">
        <v>0</v>
      </c>
      <c r="AM409">
        <v>0.3</v>
      </c>
      <c r="AN409">
        <v>0.3</v>
      </c>
      <c r="AO409">
        <v>0.4</v>
      </c>
      <c r="AP409" t="s">
        <v>268</v>
      </c>
      <c r="AQ409">
        <v>0.3</v>
      </c>
      <c r="AR409">
        <v>0.3</v>
      </c>
      <c r="AS409">
        <v>0.2</v>
      </c>
      <c r="AT409">
        <v>0.2</v>
      </c>
      <c r="AU409" t="s">
        <v>268</v>
      </c>
      <c r="AV409" t="s">
        <v>34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100</v>
      </c>
      <c r="BC409">
        <v>0</v>
      </c>
      <c r="BD409">
        <v>0</v>
      </c>
      <c r="BE409">
        <v>0</v>
      </c>
      <c r="BF409">
        <v>0</v>
      </c>
      <c r="BG409">
        <v>0</v>
      </c>
      <c r="BH409" t="s">
        <v>270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100</v>
      </c>
      <c r="BO409">
        <v>0</v>
      </c>
      <c r="BP409">
        <v>0</v>
      </c>
      <c r="BQ409">
        <v>0</v>
      </c>
      <c r="BR409">
        <v>0</v>
      </c>
      <c r="BS409">
        <v>0</v>
      </c>
      <c r="BT409" t="s">
        <v>271</v>
      </c>
      <c r="BU409">
        <v>100</v>
      </c>
      <c r="BV409">
        <v>0</v>
      </c>
      <c r="BW409" t="s">
        <v>268</v>
      </c>
      <c r="BX409" t="s">
        <v>272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100</v>
      </c>
      <c r="CE409">
        <v>0</v>
      </c>
      <c r="CF409">
        <v>0</v>
      </c>
      <c r="CG409">
        <v>0</v>
      </c>
      <c r="CH409">
        <v>0</v>
      </c>
      <c r="CI409">
        <v>0</v>
      </c>
      <c r="CJ409" t="s">
        <v>273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100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100</v>
      </c>
      <c r="CW409" t="s">
        <v>274</v>
      </c>
      <c r="CX409" t="s">
        <v>268</v>
      </c>
      <c r="CY409">
        <v>0</v>
      </c>
    </row>
    <row r="410" spans="5:103" x14ac:dyDescent="0.2">
      <c r="E410">
        <v>0</v>
      </c>
      <c r="F410" t="s">
        <v>155</v>
      </c>
      <c r="G410">
        <v>0</v>
      </c>
      <c r="H410" t="s">
        <v>155</v>
      </c>
      <c r="AL410">
        <v>0</v>
      </c>
      <c r="AM410">
        <v>0.3</v>
      </c>
      <c r="AN410">
        <v>0.3</v>
      </c>
      <c r="AO410">
        <v>0.4</v>
      </c>
      <c r="AP410" t="s">
        <v>268</v>
      </c>
      <c r="AQ410">
        <v>0.3</v>
      </c>
      <c r="AR410">
        <v>0.3</v>
      </c>
      <c r="AS410">
        <v>0.2</v>
      </c>
      <c r="AT410">
        <v>0.2</v>
      </c>
      <c r="AU410" t="s">
        <v>268</v>
      </c>
      <c r="AV410" t="s">
        <v>34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100</v>
      </c>
      <c r="BC410">
        <v>0</v>
      </c>
      <c r="BD410">
        <v>0</v>
      </c>
      <c r="BE410">
        <v>0</v>
      </c>
      <c r="BF410">
        <v>0</v>
      </c>
      <c r="BG410">
        <v>0</v>
      </c>
      <c r="BH410" t="s">
        <v>270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100</v>
      </c>
      <c r="BO410">
        <v>0</v>
      </c>
      <c r="BP410">
        <v>0</v>
      </c>
      <c r="BQ410">
        <v>0</v>
      </c>
      <c r="BR410">
        <v>0</v>
      </c>
      <c r="BS410">
        <v>0</v>
      </c>
      <c r="BT410" t="s">
        <v>271</v>
      </c>
      <c r="BU410">
        <v>100</v>
      </c>
      <c r="BV410">
        <v>0</v>
      </c>
      <c r="BW410" t="s">
        <v>268</v>
      </c>
      <c r="BX410" t="s">
        <v>272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100</v>
      </c>
      <c r="CE410">
        <v>0</v>
      </c>
      <c r="CF410">
        <v>0</v>
      </c>
      <c r="CG410">
        <v>0</v>
      </c>
      <c r="CH410">
        <v>0</v>
      </c>
      <c r="CI410">
        <v>0</v>
      </c>
      <c r="CJ410" t="s">
        <v>273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100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100</v>
      </c>
      <c r="CW410" t="s">
        <v>274</v>
      </c>
      <c r="CX410" t="s">
        <v>268</v>
      </c>
      <c r="CY410">
        <v>0</v>
      </c>
    </row>
    <row r="411" spans="5:103" x14ac:dyDescent="0.2">
      <c r="E411">
        <v>0</v>
      </c>
      <c r="F411" t="s">
        <v>155</v>
      </c>
      <c r="G411">
        <v>0</v>
      </c>
      <c r="H411" t="s">
        <v>155</v>
      </c>
      <c r="AL411">
        <v>0</v>
      </c>
      <c r="AM411">
        <v>0.3</v>
      </c>
      <c r="AN411">
        <v>0.3</v>
      </c>
      <c r="AO411">
        <v>0.4</v>
      </c>
      <c r="AP411" t="s">
        <v>268</v>
      </c>
      <c r="AQ411">
        <v>0.3</v>
      </c>
      <c r="AR411">
        <v>0.3</v>
      </c>
      <c r="AS411">
        <v>0.2</v>
      </c>
      <c r="AT411">
        <v>0.2</v>
      </c>
      <c r="AU411" t="s">
        <v>268</v>
      </c>
      <c r="AV411" t="s">
        <v>34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100</v>
      </c>
      <c r="BC411">
        <v>0</v>
      </c>
      <c r="BD411">
        <v>0</v>
      </c>
      <c r="BE411">
        <v>0</v>
      </c>
      <c r="BF411">
        <v>0</v>
      </c>
      <c r="BG411">
        <v>0</v>
      </c>
      <c r="BH411" t="s">
        <v>270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100</v>
      </c>
      <c r="BO411">
        <v>0</v>
      </c>
      <c r="BP411">
        <v>0</v>
      </c>
      <c r="BQ411">
        <v>0</v>
      </c>
      <c r="BR411">
        <v>0</v>
      </c>
      <c r="BS411">
        <v>0</v>
      </c>
      <c r="BT411" t="s">
        <v>271</v>
      </c>
      <c r="BU411">
        <v>100</v>
      </c>
      <c r="BV411">
        <v>0</v>
      </c>
      <c r="BW411" t="s">
        <v>268</v>
      </c>
      <c r="BX411" t="s">
        <v>272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100</v>
      </c>
      <c r="CE411">
        <v>0</v>
      </c>
      <c r="CF411">
        <v>0</v>
      </c>
      <c r="CG411">
        <v>0</v>
      </c>
      <c r="CH411">
        <v>0</v>
      </c>
      <c r="CI411">
        <v>0</v>
      </c>
      <c r="CJ411" t="s">
        <v>273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100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100</v>
      </c>
      <c r="CW411" t="s">
        <v>274</v>
      </c>
      <c r="CX411" t="s">
        <v>268</v>
      </c>
      <c r="CY411">
        <v>0</v>
      </c>
    </row>
    <row r="412" spans="5:103" x14ac:dyDescent="0.2">
      <c r="E412">
        <v>0</v>
      </c>
      <c r="F412" t="s">
        <v>155</v>
      </c>
      <c r="G412">
        <v>0</v>
      </c>
      <c r="H412" t="s">
        <v>155</v>
      </c>
      <c r="AL412">
        <v>0</v>
      </c>
      <c r="AM412">
        <v>0.3</v>
      </c>
      <c r="AN412">
        <v>0.3</v>
      </c>
      <c r="AO412">
        <v>0.4</v>
      </c>
      <c r="AP412" t="s">
        <v>268</v>
      </c>
      <c r="AQ412">
        <v>0.3</v>
      </c>
      <c r="AR412">
        <v>0.3</v>
      </c>
      <c r="AS412">
        <v>0.2</v>
      </c>
      <c r="AT412">
        <v>0.2</v>
      </c>
      <c r="AU412" t="s">
        <v>268</v>
      </c>
      <c r="AV412" t="s">
        <v>34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100</v>
      </c>
      <c r="BC412">
        <v>0</v>
      </c>
      <c r="BD412">
        <v>0</v>
      </c>
      <c r="BE412">
        <v>0</v>
      </c>
      <c r="BF412">
        <v>0</v>
      </c>
      <c r="BG412">
        <v>0</v>
      </c>
      <c r="BH412" t="s">
        <v>270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100</v>
      </c>
      <c r="BO412">
        <v>0</v>
      </c>
      <c r="BP412">
        <v>0</v>
      </c>
      <c r="BQ412">
        <v>0</v>
      </c>
      <c r="BR412">
        <v>0</v>
      </c>
      <c r="BS412">
        <v>0</v>
      </c>
      <c r="BT412" t="s">
        <v>271</v>
      </c>
      <c r="BU412">
        <v>100</v>
      </c>
      <c r="BV412">
        <v>0</v>
      </c>
      <c r="BW412" t="s">
        <v>268</v>
      </c>
      <c r="BX412" t="s">
        <v>272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100</v>
      </c>
      <c r="CE412">
        <v>0</v>
      </c>
      <c r="CF412">
        <v>0</v>
      </c>
      <c r="CG412">
        <v>0</v>
      </c>
      <c r="CH412">
        <v>0</v>
      </c>
      <c r="CI412">
        <v>0</v>
      </c>
      <c r="CJ412" t="s">
        <v>273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100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100</v>
      </c>
      <c r="CW412" t="s">
        <v>274</v>
      </c>
      <c r="CX412" t="s">
        <v>268</v>
      </c>
      <c r="CY412">
        <v>0</v>
      </c>
    </row>
    <row r="413" spans="5:103" x14ac:dyDescent="0.2">
      <c r="E413">
        <v>0</v>
      </c>
      <c r="F413" t="s">
        <v>155</v>
      </c>
      <c r="G413">
        <v>0</v>
      </c>
      <c r="H413" t="s">
        <v>155</v>
      </c>
      <c r="AL413">
        <v>0</v>
      </c>
      <c r="AM413">
        <v>0.3</v>
      </c>
      <c r="AN413">
        <v>0.3</v>
      </c>
      <c r="AO413">
        <v>0.4</v>
      </c>
      <c r="AP413" t="s">
        <v>268</v>
      </c>
      <c r="AQ413">
        <v>0.3</v>
      </c>
      <c r="AR413">
        <v>0.3</v>
      </c>
      <c r="AS413">
        <v>0.2</v>
      </c>
      <c r="AT413">
        <v>0.2</v>
      </c>
      <c r="AU413" t="s">
        <v>268</v>
      </c>
      <c r="AV413" t="s">
        <v>34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100</v>
      </c>
      <c r="BC413">
        <v>0</v>
      </c>
      <c r="BD413">
        <v>0</v>
      </c>
      <c r="BE413">
        <v>0</v>
      </c>
      <c r="BF413">
        <v>0</v>
      </c>
      <c r="BG413">
        <v>0</v>
      </c>
      <c r="BH413" t="s">
        <v>270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100</v>
      </c>
      <c r="BO413">
        <v>0</v>
      </c>
      <c r="BP413">
        <v>0</v>
      </c>
      <c r="BQ413">
        <v>0</v>
      </c>
      <c r="BR413">
        <v>0</v>
      </c>
      <c r="BS413">
        <v>0</v>
      </c>
      <c r="BT413" t="s">
        <v>271</v>
      </c>
      <c r="BU413">
        <v>100</v>
      </c>
      <c r="BV413">
        <v>0</v>
      </c>
      <c r="BW413" t="s">
        <v>268</v>
      </c>
      <c r="BX413" t="s">
        <v>272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100</v>
      </c>
      <c r="CE413">
        <v>0</v>
      </c>
      <c r="CF413">
        <v>0</v>
      </c>
      <c r="CG413">
        <v>0</v>
      </c>
      <c r="CH413">
        <v>0</v>
      </c>
      <c r="CI413">
        <v>0</v>
      </c>
      <c r="CJ413" t="s">
        <v>273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100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100</v>
      </c>
      <c r="CW413" t="s">
        <v>274</v>
      </c>
      <c r="CX413" t="s">
        <v>268</v>
      </c>
      <c r="CY413">
        <v>0</v>
      </c>
    </row>
    <row r="414" spans="5:103" x14ac:dyDescent="0.2">
      <c r="E414">
        <v>0</v>
      </c>
      <c r="F414" t="s">
        <v>155</v>
      </c>
      <c r="G414">
        <v>0</v>
      </c>
      <c r="H414" t="s">
        <v>155</v>
      </c>
      <c r="AL414">
        <v>0</v>
      </c>
      <c r="AM414">
        <v>0.3</v>
      </c>
      <c r="AN414">
        <v>0.3</v>
      </c>
      <c r="AO414">
        <v>0.4</v>
      </c>
      <c r="AP414" t="s">
        <v>268</v>
      </c>
      <c r="AQ414">
        <v>0.3</v>
      </c>
      <c r="AR414">
        <v>0.3</v>
      </c>
      <c r="AS414">
        <v>0.2</v>
      </c>
      <c r="AT414">
        <v>0.2</v>
      </c>
      <c r="AU414" t="s">
        <v>268</v>
      </c>
      <c r="AV414" t="s">
        <v>34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100</v>
      </c>
      <c r="BC414">
        <v>0</v>
      </c>
      <c r="BD414">
        <v>0</v>
      </c>
      <c r="BE414">
        <v>0</v>
      </c>
      <c r="BF414">
        <v>0</v>
      </c>
      <c r="BG414">
        <v>0</v>
      </c>
      <c r="BH414" t="s">
        <v>270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100</v>
      </c>
      <c r="BO414">
        <v>0</v>
      </c>
      <c r="BP414">
        <v>0</v>
      </c>
      <c r="BQ414">
        <v>0</v>
      </c>
      <c r="BR414">
        <v>0</v>
      </c>
      <c r="BS414">
        <v>0</v>
      </c>
      <c r="BT414" t="s">
        <v>271</v>
      </c>
      <c r="BU414">
        <v>100</v>
      </c>
      <c r="BV414">
        <v>0</v>
      </c>
      <c r="BW414" t="s">
        <v>268</v>
      </c>
      <c r="BX414" t="s">
        <v>272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100</v>
      </c>
      <c r="CE414">
        <v>0</v>
      </c>
      <c r="CF414">
        <v>0</v>
      </c>
      <c r="CG414">
        <v>0</v>
      </c>
      <c r="CH414">
        <v>0</v>
      </c>
      <c r="CI414">
        <v>0</v>
      </c>
      <c r="CJ414" t="s">
        <v>273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100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100</v>
      </c>
      <c r="CW414" t="s">
        <v>274</v>
      </c>
      <c r="CX414" t="s">
        <v>268</v>
      </c>
      <c r="CY414">
        <v>0</v>
      </c>
    </row>
    <row r="415" spans="5:103" x14ac:dyDescent="0.2">
      <c r="E415">
        <v>0</v>
      </c>
      <c r="F415" t="s">
        <v>155</v>
      </c>
      <c r="G415">
        <v>0</v>
      </c>
      <c r="H415" t="s">
        <v>155</v>
      </c>
      <c r="AL415">
        <v>0</v>
      </c>
      <c r="AM415">
        <v>0.3</v>
      </c>
      <c r="AN415">
        <v>0.3</v>
      </c>
      <c r="AO415">
        <v>0.4</v>
      </c>
      <c r="AP415" t="s">
        <v>268</v>
      </c>
      <c r="AQ415">
        <v>0.3</v>
      </c>
      <c r="AR415">
        <v>0.3</v>
      </c>
      <c r="AS415">
        <v>0.2</v>
      </c>
      <c r="AT415">
        <v>0.2</v>
      </c>
      <c r="AU415" t="s">
        <v>268</v>
      </c>
      <c r="AV415" t="s">
        <v>34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100</v>
      </c>
      <c r="BC415">
        <v>0</v>
      </c>
      <c r="BD415">
        <v>0</v>
      </c>
      <c r="BE415">
        <v>0</v>
      </c>
      <c r="BF415">
        <v>0</v>
      </c>
      <c r="BG415">
        <v>0</v>
      </c>
      <c r="BH415" t="s">
        <v>270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100</v>
      </c>
      <c r="BO415">
        <v>0</v>
      </c>
      <c r="BP415">
        <v>0</v>
      </c>
      <c r="BQ415">
        <v>0</v>
      </c>
      <c r="BR415">
        <v>0</v>
      </c>
      <c r="BS415">
        <v>0</v>
      </c>
      <c r="BT415" t="s">
        <v>271</v>
      </c>
      <c r="BU415">
        <v>100</v>
      </c>
      <c r="BV415">
        <v>0</v>
      </c>
      <c r="BW415" t="s">
        <v>268</v>
      </c>
      <c r="BX415" t="s">
        <v>272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100</v>
      </c>
      <c r="CE415">
        <v>0</v>
      </c>
      <c r="CF415">
        <v>0</v>
      </c>
      <c r="CG415">
        <v>0</v>
      </c>
      <c r="CH415">
        <v>0</v>
      </c>
      <c r="CI415">
        <v>0</v>
      </c>
      <c r="CJ415" t="s">
        <v>273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100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100</v>
      </c>
      <c r="CW415" t="s">
        <v>274</v>
      </c>
      <c r="CX415" t="s">
        <v>268</v>
      </c>
      <c r="CY415">
        <v>0</v>
      </c>
    </row>
    <row r="416" spans="5:103" x14ac:dyDescent="0.2">
      <c r="E416">
        <v>0</v>
      </c>
      <c r="F416" t="s">
        <v>155</v>
      </c>
      <c r="G416">
        <v>0</v>
      </c>
      <c r="H416" t="s">
        <v>155</v>
      </c>
      <c r="AL416">
        <v>0</v>
      </c>
      <c r="AM416">
        <v>0.3</v>
      </c>
      <c r="AN416">
        <v>0.3</v>
      </c>
      <c r="AO416">
        <v>0.4</v>
      </c>
      <c r="AP416" t="s">
        <v>268</v>
      </c>
      <c r="AQ416">
        <v>0.3</v>
      </c>
      <c r="AR416">
        <v>0.3</v>
      </c>
      <c r="AS416">
        <v>0.2</v>
      </c>
      <c r="AT416">
        <v>0.2</v>
      </c>
      <c r="AU416" t="s">
        <v>268</v>
      </c>
      <c r="AV416" t="s">
        <v>34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100</v>
      </c>
      <c r="BC416">
        <v>0</v>
      </c>
      <c r="BD416">
        <v>0</v>
      </c>
      <c r="BE416">
        <v>0</v>
      </c>
      <c r="BF416">
        <v>0</v>
      </c>
      <c r="BG416">
        <v>0</v>
      </c>
      <c r="BH416" t="s">
        <v>270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100</v>
      </c>
      <c r="BO416">
        <v>0</v>
      </c>
      <c r="BP416">
        <v>0</v>
      </c>
      <c r="BQ416">
        <v>0</v>
      </c>
      <c r="BR416">
        <v>0</v>
      </c>
      <c r="BS416">
        <v>0</v>
      </c>
      <c r="BT416" t="s">
        <v>271</v>
      </c>
      <c r="BU416">
        <v>100</v>
      </c>
      <c r="BV416">
        <v>0</v>
      </c>
      <c r="BW416" t="s">
        <v>268</v>
      </c>
      <c r="BX416" t="s">
        <v>272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100</v>
      </c>
      <c r="CE416">
        <v>0</v>
      </c>
      <c r="CF416">
        <v>0</v>
      </c>
      <c r="CG416">
        <v>0</v>
      </c>
      <c r="CH416">
        <v>0</v>
      </c>
      <c r="CI416">
        <v>0</v>
      </c>
      <c r="CJ416" t="s">
        <v>273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100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100</v>
      </c>
      <c r="CW416" t="s">
        <v>274</v>
      </c>
      <c r="CX416" t="s">
        <v>268</v>
      </c>
      <c r="CY416">
        <v>0</v>
      </c>
    </row>
    <row r="417" spans="5:103" x14ac:dyDescent="0.2">
      <c r="E417">
        <v>0</v>
      </c>
      <c r="F417" t="s">
        <v>155</v>
      </c>
      <c r="G417">
        <v>0</v>
      </c>
      <c r="H417" t="s">
        <v>155</v>
      </c>
      <c r="AL417">
        <v>0</v>
      </c>
      <c r="AM417">
        <v>0.3</v>
      </c>
      <c r="AN417">
        <v>0.3</v>
      </c>
      <c r="AO417">
        <v>0.4</v>
      </c>
      <c r="AP417" t="s">
        <v>268</v>
      </c>
      <c r="AQ417">
        <v>0.3</v>
      </c>
      <c r="AR417">
        <v>0.3</v>
      </c>
      <c r="AS417">
        <v>0.2</v>
      </c>
      <c r="AT417">
        <v>0.2</v>
      </c>
      <c r="AU417" t="s">
        <v>268</v>
      </c>
      <c r="AV417" t="s">
        <v>34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100</v>
      </c>
      <c r="BC417">
        <v>0</v>
      </c>
      <c r="BD417">
        <v>0</v>
      </c>
      <c r="BE417">
        <v>0</v>
      </c>
      <c r="BF417">
        <v>0</v>
      </c>
      <c r="BG417">
        <v>0</v>
      </c>
      <c r="BH417" t="s">
        <v>270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100</v>
      </c>
      <c r="BO417">
        <v>0</v>
      </c>
      <c r="BP417">
        <v>0</v>
      </c>
      <c r="BQ417">
        <v>0</v>
      </c>
      <c r="BR417">
        <v>0</v>
      </c>
      <c r="BS417">
        <v>0</v>
      </c>
      <c r="BT417" t="s">
        <v>271</v>
      </c>
      <c r="BU417">
        <v>100</v>
      </c>
      <c r="BV417">
        <v>0</v>
      </c>
      <c r="BW417" t="s">
        <v>268</v>
      </c>
      <c r="BX417" t="s">
        <v>272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100</v>
      </c>
      <c r="CE417">
        <v>0</v>
      </c>
      <c r="CF417">
        <v>0</v>
      </c>
      <c r="CG417">
        <v>0</v>
      </c>
      <c r="CH417">
        <v>0</v>
      </c>
      <c r="CI417">
        <v>0</v>
      </c>
      <c r="CJ417" t="s">
        <v>273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100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100</v>
      </c>
      <c r="CW417" t="s">
        <v>274</v>
      </c>
      <c r="CX417" t="s">
        <v>268</v>
      </c>
      <c r="CY417">
        <v>0</v>
      </c>
    </row>
    <row r="418" spans="5:103" x14ac:dyDescent="0.2">
      <c r="E418">
        <v>0</v>
      </c>
      <c r="F418" t="s">
        <v>155</v>
      </c>
      <c r="G418">
        <v>0</v>
      </c>
      <c r="H418" t="s">
        <v>155</v>
      </c>
      <c r="AL418">
        <v>0</v>
      </c>
      <c r="AM418">
        <v>0.3</v>
      </c>
      <c r="AN418">
        <v>0.3</v>
      </c>
      <c r="AO418">
        <v>0.4</v>
      </c>
      <c r="AP418" t="s">
        <v>268</v>
      </c>
      <c r="AQ418">
        <v>0.3</v>
      </c>
      <c r="AR418">
        <v>0.3</v>
      </c>
      <c r="AS418">
        <v>0.2</v>
      </c>
      <c r="AT418">
        <v>0.2</v>
      </c>
      <c r="AU418" t="s">
        <v>268</v>
      </c>
      <c r="AV418" t="s">
        <v>34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100</v>
      </c>
      <c r="BC418">
        <v>0</v>
      </c>
      <c r="BD418">
        <v>0</v>
      </c>
      <c r="BE418">
        <v>0</v>
      </c>
      <c r="BF418">
        <v>0</v>
      </c>
      <c r="BG418">
        <v>0</v>
      </c>
      <c r="BH418" t="s">
        <v>270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100</v>
      </c>
      <c r="BO418">
        <v>0</v>
      </c>
      <c r="BP418">
        <v>0</v>
      </c>
      <c r="BQ418">
        <v>0</v>
      </c>
      <c r="BR418">
        <v>0</v>
      </c>
      <c r="BS418">
        <v>0</v>
      </c>
      <c r="BT418" t="s">
        <v>271</v>
      </c>
      <c r="BU418">
        <v>100</v>
      </c>
      <c r="BV418">
        <v>0</v>
      </c>
      <c r="BW418" t="s">
        <v>268</v>
      </c>
      <c r="BX418" t="s">
        <v>272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100</v>
      </c>
      <c r="CE418">
        <v>0</v>
      </c>
      <c r="CF418">
        <v>0</v>
      </c>
      <c r="CG418">
        <v>0</v>
      </c>
      <c r="CH418">
        <v>0</v>
      </c>
      <c r="CI418">
        <v>0</v>
      </c>
      <c r="CJ418" t="s">
        <v>273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100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100</v>
      </c>
      <c r="CW418" t="s">
        <v>274</v>
      </c>
      <c r="CX418" t="s">
        <v>268</v>
      </c>
      <c r="CY418">
        <v>0</v>
      </c>
    </row>
    <row r="419" spans="5:103" x14ac:dyDescent="0.2">
      <c r="E419">
        <v>0</v>
      </c>
      <c r="F419" t="s">
        <v>155</v>
      </c>
      <c r="G419">
        <v>0</v>
      </c>
      <c r="H419" t="s">
        <v>155</v>
      </c>
      <c r="AL419">
        <v>0</v>
      </c>
      <c r="AM419">
        <v>0.3</v>
      </c>
      <c r="AN419">
        <v>0.3</v>
      </c>
      <c r="AO419">
        <v>0.4</v>
      </c>
      <c r="AP419" t="s">
        <v>268</v>
      </c>
      <c r="AQ419">
        <v>0.3</v>
      </c>
      <c r="AR419">
        <v>0.3</v>
      </c>
      <c r="AS419">
        <v>0.2</v>
      </c>
      <c r="AT419">
        <v>0.2</v>
      </c>
      <c r="AU419" t="s">
        <v>268</v>
      </c>
      <c r="AV419" t="s">
        <v>34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100</v>
      </c>
      <c r="BC419">
        <v>0</v>
      </c>
      <c r="BD419">
        <v>0</v>
      </c>
      <c r="BE419">
        <v>0</v>
      </c>
      <c r="BF419">
        <v>0</v>
      </c>
      <c r="BG419">
        <v>0</v>
      </c>
      <c r="BH419" t="s">
        <v>270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100</v>
      </c>
      <c r="BO419">
        <v>0</v>
      </c>
      <c r="BP419">
        <v>0</v>
      </c>
      <c r="BQ419">
        <v>0</v>
      </c>
      <c r="BR419">
        <v>0</v>
      </c>
      <c r="BS419">
        <v>0</v>
      </c>
      <c r="BT419" t="s">
        <v>271</v>
      </c>
      <c r="BU419">
        <v>100</v>
      </c>
      <c r="BV419">
        <v>0</v>
      </c>
      <c r="BW419" t="s">
        <v>268</v>
      </c>
      <c r="BX419" t="s">
        <v>272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100</v>
      </c>
      <c r="CE419">
        <v>0</v>
      </c>
      <c r="CF419">
        <v>0</v>
      </c>
      <c r="CG419">
        <v>0</v>
      </c>
      <c r="CH419">
        <v>0</v>
      </c>
      <c r="CI419">
        <v>0</v>
      </c>
      <c r="CJ419" t="s">
        <v>273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100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100</v>
      </c>
      <c r="CW419" t="s">
        <v>274</v>
      </c>
      <c r="CX419" t="s">
        <v>268</v>
      </c>
      <c r="CY419">
        <v>0</v>
      </c>
    </row>
    <row r="420" spans="5:103" x14ac:dyDescent="0.2">
      <c r="E420">
        <v>0</v>
      </c>
      <c r="F420" t="s">
        <v>155</v>
      </c>
      <c r="G420">
        <v>0</v>
      </c>
      <c r="H420" t="s">
        <v>155</v>
      </c>
      <c r="AL420">
        <v>0</v>
      </c>
      <c r="AM420">
        <v>0.3</v>
      </c>
      <c r="AN420">
        <v>0.3</v>
      </c>
      <c r="AO420">
        <v>0.4</v>
      </c>
      <c r="AP420" t="s">
        <v>268</v>
      </c>
      <c r="AQ420">
        <v>0.3</v>
      </c>
      <c r="AR420">
        <v>0.3</v>
      </c>
      <c r="AS420">
        <v>0.2</v>
      </c>
      <c r="AT420">
        <v>0.2</v>
      </c>
      <c r="AU420" t="s">
        <v>268</v>
      </c>
      <c r="AV420" t="s">
        <v>34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100</v>
      </c>
      <c r="BC420">
        <v>0</v>
      </c>
      <c r="BD420">
        <v>0</v>
      </c>
      <c r="BE420">
        <v>0</v>
      </c>
      <c r="BF420">
        <v>0</v>
      </c>
      <c r="BG420">
        <v>0</v>
      </c>
      <c r="BH420" t="s">
        <v>270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100</v>
      </c>
      <c r="BO420">
        <v>0</v>
      </c>
      <c r="BP420">
        <v>0</v>
      </c>
      <c r="BQ420">
        <v>0</v>
      </c>
      <c r="BR420">
        <v>0</v>
      </c>
      <c r="BS420">
        <v>0</v>
      </c>
      <c r="BT420" t="s">
        <v>271</v>
      </c>
      <c r="BU420">
        <v>100</v>
      </c>
      <c r="BV420">
        <v>0</v>
      </c>
      <c r="BW420" t="s">
        <v>268</v>
      </c>
      <c r="BX420" t="s">
        <v>272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100</v>
      </c>
      <c r="CE420">
        <v>0</v>
      </c>
      <c r="CF420">
        <v>0</v>
      </c>
      <c r="CG420">
        <v>0</v>
      </c>
      <c r="CH420">
        <v>0</v>
      </c>
      <c r="CI420">
        <v>0</v>
      </c>
      <c r="CJ420" t="s">
        <v>273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100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100</v>
      </c>
      <c r="CW420" t="s">
        <v>274</v>
      </c>
      <c r="CX420" t="s">
        <v>268</v>
      </c>
      <c r="CY420">
        <v>0</v>
      </c>
    </row>
    <row r="421" spans="5:103" x14ac:dyDescent="0.2">
      <c r="E421">
        <v>0</v>
      </c>
      <c r="F421" t="s">
        <v>155</v>
      </c>
      <c r="G421">
        <v>0</v>
      </c>
      <c r="H421" t="s">
        <v>155</v>
      </c>
      <c r="AL421">
        <v>0</v>
      </c>
      <c r="AM421">
        <v>0.3</v>
      </c>
      <c r="AN421">
        <v>0.3</v>
      </c>
      <c r="AO421">
        <v>0.4</v>
      </c>
      <c r="AP421" t="s">
        <v>268</v>
      </c>
      <c r="AQ421">
        <v>0.3</v>
      </c>
      <c r="AR421">
        <v>0.3</v>
      </c>
      <c r="AS421">
        <v>0.2</v>
      </c>
      <c r="AT421">
        <v>0.2</v>
      </c>
      <c r="AU421" t="s">
        <v>268</v>
      </c>
      <c r="AV421" t="s">
        <v>34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100</v>
      </c>
      <c r="BC421">
        <v>0</v>
      </c>
      <c r="BD421">
        <v>0</v>
      </c>
      <c r="BE421">
        <v>0</v>
      </c>
      <c r="BF421">
        <v>0</v>
      </c>
      <c r="BG421">
        <v>0</v>
      </c>
      <c r="BH421" t="s">
        <v>270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100</v>
      </c>
      <c r="BO421">
        <v>0</v>
      </c>
      <c r="BP421">
        <v>0</v>
      </c>
      <c r="BQ421">
        <v>0</v>
      </c>
      <c r="BR421">
        <v>0</v>
      </c>
      <c r="BS421">
        <v>0</v>
      </c>
      <c r="BT421" t="s">
        <v>271</v>
      </c>
      <c r="BU421">
        <v>100</v>
      </c>
      <c r="BV421">
        <v>0</v>
      </c>
      <c r="BW421" t="s">
        <v>268</v>
      </c>
      <c r="BX421" t="s">
        <v>272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100</v>
      </c>
      <c r="CE421">
        <v>0</v>
      </c>
      <c r="CF421">
        <v>0</v>
      </c>
      <c r="CG421">
        <v>0</v>
      </c>
      <c r="CH421">
        <v>0</v>
      </c>
      <c r="CI421">
        <v>0</v>
      </c>
      <c r="CJ421" t="s">
        <v>273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100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100</v>
      </c>
      <c r="CW421" t="s">
        <v>274</v>
      </c>
      <c r="CX421" t="s">
        <v>268</v>
      </c>
      <c r="CY421">
        <v>0</v>
      </c>
    </row>
    <row r="422" spans="5:103" x14ac:dyDescent="0.2">
      <c r="E422">
        <v>0</v>
      </c>
      <c r="F422" t="s">
        <v>155</v>
      </c>
      <c r="G422">
        <v>0</v>
      </c>
      <c r="H422" t="s">
        <v>155</v>
      </c>
      <c r="AL422">
        <v>0</v>
      </c>
      <c r="AM422">
        <v>0.3</v>
      </c>
      <c r="AN422">
        <v>0.3</v>
      </c>
      <c r="AO422">
        <v>0.4</v>
      </c>
      <c r="AP422" t="s">
        <v>268</v>
      </c>
      <c r="AQ422">
        <v>0.3</v>
      </c>
      <c r="AR422">
        <v>0.3</v>
      </c>
      <c r="AS422">
        <v>0.2</v>
      </c>
      <c r="AT422">
        <v>0.2</v>
      </c>
      <c r="AU422" t="s">
        <v>268</v>
      </c>
      <c r="AV422" t="s">
        <v>34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100</v>
      </c>
      <c r="BC422">
        <v>0</v>
      </c>
      <c r="BD422">
        <v>0</v>
      </c>
      <c r="BE422">
        <v>0</v>
      </c>
      <c r="BF422">
        <v>0</v>
      </c>
      <c r="BG422">
        <v>0</v>
      </c>
      <c r="BH422" t="s">
        <v>270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100</v>
      </c>
      <c r="BO422">
        <v>0</v>
      </c>
      <c r="BP422">
        <v>0</v>
      </c>
      <c r="BQ422">
        <v>0</v>
      </c>
      <c r="BR422">
        <v>0</v>
      </c>
      <c r="BS422">
        <v>0</v>
      </c>
      <c r="BT422" t="s">
        <v>271</v>
      </c>
      <c r="BU422">
        <v>100</v>
      </c>
      <c r="BV422">
        <v>0</v>
      </c>
      <c r="BW422" t="s">
        <v>268</v>
      </c>
      <c r="BX422" t="s">
        <v>272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100</v>
      </c>
      <c r="CE422">
        <v>0</v>
      </c>
      <c r="CF422">
        <v>0</v>
      </c>
      <c r="CG422">
        <v>0</v>
      </c>
      <c r="CH422">
        <v>0</v>
      </c>
      <c r="CI422">
        <v>0</v>
      </c>
      <c r="CJ422" t="s">
        <v>273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100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100</v>
      </c>
      <c r="CW422" t="s">
        <v>274</v>
      </c>
      <c r="CX422" t="s">
        <v>268</v>
      </c>
      <c r="CY422">
        <v>0</v>
      </c>
    </row>
    <row r="423" spans="5:103" x14ac:dyDescent="0.2">
      <c r="E423">
        <v>0</v>
      </c>
      <c r="F423" t="s">
        <v>155</v>
      </c>
      <c r="G423">
        <v>0</v>
      </c>
      <c r="H423" t="s">
        <v>155</v>
      </c>
      <c r="AL423">
        <v>0</v>
      </c>
      <c r="AM423">
        <v>0.3</v>
      </c>
      <c r="AN423">
        <v>0.3</v>
      </c>
      <c r="AO423">
        <v>0.4</v>
      </c>
      <c r="AP423" t="s">
        <v>268</v>
      </c>
      <c r="AQ423">
        <v>0.3</v>
      </c>
      <c r="AR423">
        <v>0.3</v>
      </c>
      <c r="AS423">
        <v>0.2</v>
      </c>
      <c r="AT423">
        <v>0.2</v>
      </c>
      <c r="AU423" t="s">
        <v>268</v>
      </c>
      <c r="AV423" t="s">
        <v>34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100</v>
      </c>
      <c r="BC423">
        <v>0</v>
      </c>
      <c r="BD423">
        <v>0</v>
      </c>
      <c r="BE423">
        <v>0</v>
      </c>
      <c r="BF423">
        <v>0</v>
      </c>
      <c r="BG423">
        <v>0</v>
      </c>
      <c r="BH423" t="s">
        <v>270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100</v>
      </c>
      <c r="BO423">
        <v>0</v>
      </c>
      <c r="BP423">
        <v>0</v>
      </c>
      <c r="BQ423">
        <v>0</v>
      </c>
      <c r="BR423">
        <v>0</v>
      </c>
      <c r="BS423">
        <v>0</v>
      </c>
      <c r="BT423" t="s">
        <v>271</v>
      </c>
      <c r="BU423">
        <v>100</v>
      </c>
      <c r="BV423">
        <v>0</v>
      </c>
      <c r="BW423" t="s">
        <v>268</v>
      </c>
      <c r="BX423" t="s">
        <v>272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100</v>
      </c>
      <c r="CE423">
        <v>0</v>
      </c>
      <c r="CF423">
        <v>0</v>
      </c>
      <c r="CG423">
        <v>0</v>
      </c>
      <c r="CH423">
        <v>0</v>
      </c>
      <c r="CI423">
        <v>0</v>
      </c>
      <c r="CJ423" t="s">
        <v>273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100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100</v>
      </c>
      <c r="CW423" t="s">
        <v>274</v>
      </c>
      <c r="CX423" t="s">
        <v>268</v>
      </c>
      <c r="CY423">
        <v>0</v>
      </c>
    </row>
    <row r="424" spans="5:103" x14ac:dyDescent="0.2">
      <c r="E424">
        <v>0</v>
      </c>
      <c r="F424" t="s">
        <v>155</v>
      </c>
      <c r="G424">
        <v>0</v>
      </c>
      <c r="H424" t="s">
        <v>155</v>
      </c>
      <c r="AL424">
        <v>0</v>
      </c>
      <c r="AM424">
        <v>0.3</v>
      </c>
      <c r="AN424">
        <v>0.3</v>
      </c>
      <c r="AO424">
        <v>0.4</v>
      </c>
      <c r="AP424" t="s">
        <v>268</v>
      </c>
      <c r="AQ424">
        <v>0.3</v>
      </c>
      <c r="AR424">
        <v>0.3</v>
      </c>
      <c r="AS424">
        <v>0.2</v>
      </c>
      <c r="AT424">
        <v>0.2</v>
      </c>
      <c r="AU424" t="s">
        <v>268</v>
      </c>
      <c r="AV424" t="s">
        <v>34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100</v>
      </c>
      <c r="BC424">
        <v>0</v>
      </c>
      <c r="BD424">
        <v>0</v>
      </c>
      <c r="BE424">
        <v>0</v>
      </c>
      <c r="BF424">
        <v>0</v>
      </c>
      <c r="BG424">
        <v>0</v>
      </c>
      <c r="BH424" t="s">
        <v>270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100</v>
      </c>
      <c r="BO424">
        <v>0</v>
      </c>
      <c r="BP424">
        <v>0</v>
      </c>
      <c r="BQ424">
        <v>0</v>
      </c>
      <c r="BR424">
        <v>0</v>
      </c>
      <c r="BS424">
        <v>0</v>
      </c>
      <c r="BT424" t="s">
        <v>271</v>
      </c>
      <c r="BU424">
        <v>100</v>
      </c>
      <c r="BV424">
        <v>0</v>
      </c>
      <c r="BW424" t="s">
        <v>268</v>
      </c>
      <c r="BX424" t="s">
        <v>272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100</v>
      </c>
      <c r="CE424">
        <v>0</v>
      </c>
      <c r="CF424">
        <v>0</v>
      </c>
      <c r="CG424">
        <v>0</v>
      </c>
      <c r="CH424">
        <v>0</v>
      </c>
      <c r="CI424">
        <v>0</v>
      </c>
      <c r="CJ424" t="s">
        <v>273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100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100</v>
      </c>
      <c r="CW424" t="s">
        <v>274</v>
      </c>
      <c r="CX424" t="s">
        <v>268</v>
      </c>
      <c r="CY424">
        <v>0</v>
      </c>
    </row>
    <row r="425" spans="5:103" x14ac:dyDescent="0.2">
      <c r="E425">
        <v>0</v>
      </c>
      <c r="F425" t="s">
        <v>155</v>
      </c>
      <c r="G425">
        <v>0</v>
      </c>
      <c r="H425" t="s">
        <v>155</v>
      </c>
      <c r="AL425">
        <v>0</v>
      </c>
      <c r="AM425">
        <v>0.3</v>
      </c>
      <c r="AN425">
        <v>0.3</v>
      </c>
      <c r="AO425">
        <v>0.4</v>
      </c>
      <c r="AP425" t="s">
        <v>268</v>
      </c>
      <c r="AQ425">
        <v>0.3</v>
      </c>
      <c r="AR425">
        <v>0.3</v>
      </c>
      <c r="AS425">
        <v>0.2</v>
      </c>
      <c r="AT425">
        <v>0.2</v>
      </c>
      <c r="AU425" t="s">
        <v>268</v>
      </c>
      <c r="AV425" t="s">
        <v>34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100</v>
      </c>
      <c r="BC425">
        <v>0</v>
      </c>
      <c r="BD425">
        <v>0</v>
      </c>
      <c r="BE425">
        <v>0</v>
      </c>
      <c r="BF425">
        <v>0</v>
      </c>
      <c r="BG425">
        <v>0</v>
      </c>
      <c r="BH425" t="s">
        <v>270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100</v>
      </c>
      <c r="BO425">
        <v>0</v>
      </c>
      <c r="BP425">
        <v>0</v>
      </c>
      <c r="BQ425">
        <v>0</v>
      </c>
      <c r="BR425">
        <v>0</v>
      </c>
      <c r="BS425">
        <v>0</v>
      </c>
      <c r="BT425" t="s">
        <v>271</v>
      </c>
      <c r="BU425">
        <v>100</v>
      </c>
      <c r="BV425">
        <v>0</v>
      </c>
      <c r="BW425" t="s">
        <v>268</v>
      </c>
      <c r="BX425" t="s">
        <v>272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100</v>
      </c>
      <c r="CE425">
        <v>0</v>
      </c>
      <c r="CF425">
        <v>0</v>
      </c>
      <c r="CG425">
        <v>0</v>
      </c>
      <c r="CH425">
        <v>0</v>
      </c>
      <c r="CI425">
        <v>0</v>
      </c>
      <c r="CJ425" t="s">
        <v>273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100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100</v>
      </c>
      <c r="CW425" t="s">
        <v>274</v>
      </c>
      <c r="CX425" t="s">
        <v>268</v>
      </c>
      <c r="CY425">
        <v>0</v>
      </c>
    </row>
    <row r="426" spans="5:103" x14ac:dyDescent="0.2">
      <c r="E426">
        <v>0</v>
      </c>
      <c r="F426" t="s">
        <v>155</v>
      </c>
      <c r="G426">
        <v>0</v>
      </c>
      <c r="H426" t="s">
        <v>155</v>
      </c>
      <c r="AL426">
        <v>0</v>
      </c>
      <c r="AM426">
        <v>0.3</v>
      </c>
      <c r="AN426">
        <v>0.3</v>
      </c>
      <c r="AO426">
        <v>0.4</v>
      </c>
      <c r="AP426" t="s">
        <v>268</v>
      </c>
      <c r="AQ426">
        <v>0.3</v>
      </c>
      <c r="AR426">
        <v>0.3</v>
      </c>
      <c r="AS426">
        <v>0.2</v>
      </c>
      <c r="AT426">
        <v>0.2</v>
      </c>
      <c r="AU426" t="s">
        <v>268</v>
      </c>
      <c r="AV426" t="s">
        <v>34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100</v>
      </c>
      <c r="BC426">
        <v>0</v>
      </c>
      <c r="BD426">
        <v>0</v>
      </c>
      <c r="BE426">
        <v>0</v>
      </c>
      <c r="BF426">
        <v>0</v>
      </c>
      <c r="BG426">
        <v>0</v>
      </c>
      <c r="BH426" t="s">
        <v>270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100</v>
      </c>
      <c r="BO426">
        <v>0</v>
      </c>
      <c r="BP426">
        <v>0</v>
      </c>
      <c r="BQ426">
        <v>0</v>
      </c>
      <c r="BR426">
        <v>0</v>
      </c>
      <c r="BS426">
        <v>0</v>
      </c>
      <c r="BT426" t="s">
        <v>271</v>
      </c>
      <c r="BU426">
        <v>100</v>
      </c>
      <c r="BV426">
        <v>0</v>
      </c>
      <c r="BW426" t="s">
        <v>268</v>
      </c>
      <c r="BX426" t="s">
        <v>272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100</v>
      </c>
      <c r="CE426">
        <v>0</v>
      </c>
      <c r="CF426">
        <v>0</v>
      </c>
      <c r="CG426">
        <v>0</v>
      </c>
      <c r="CH426">
        <v>0</v>
      </c>
      <c r="CI426">
        <v>0</v>
      </c>
      <c r="CJ426" t="s">
        <v>273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100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100</v>
      </c>
      <c r="CW426" t="s">
        <v>274</v>
      </c>
      <c r="CX426" t="s">
        <v>268</v>
      </c>
      <c r="CY426">
        <v>0</v>
      </c>
    </row>
    <row r="427" spans="5:103" x14ac:dyDescent="0.2">
      <c r="E427">
        <v>0</v>
      </c>
      <c r="F427" t="s">
        <v>155</v>
      </c>
      <c r="G427">
        <v>0</v>
      </c>
      <c r="H427" t="s">
        <v>155</v>
      </c>
      <c r="AL427">
        <v>0</v>
      </c>
      <c r="AM427">
        <v>0.3</v>
      </c>
      <c r="AN427">
        <v>0.3</v>
      </c>
      <c r="AO427">
        <v>0.4</v>
      </c>
      <c r="AP427" t="s">
        <v>268</v>
      </c>
      <c r="AQ427">
        <v>0.3</v>
      </c>
      <c r="AR427">
        <v>0.3</v>
      </c>
      <c r="AS427">
        <v>0.2</v>
      </c>
      <c r="AT427">
        <v>0.2</v>
      </c>
      <c r="AU427" t="s">
        <v>268</v>
      </c>
      <c r="AV427" t="s">
        <v>34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100</v>
      </c>
      <c r="BC427">
        <v>0</v>
      </c>
      <c r="BD427">
        <v>0</v>
      </c>
      <c r="BE427">
        <v>0</v>
      </c>
      <c r="BF427">
        <v>0</v>
      </c>
      <c r="BG427">
        <v>0</v>
      </c>
      <c r="BH427" t="s">
        <v>270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100</v>
      </c>
      <c r="BO427">
        <v>0</v>
      </c>
      <c r="BP427">
        <v>0</v>
      </c>
      <c r="BQ427">
        <v>0</v>
      </c>
      <c r="BR427">
        <v>0</v>
      </c>
      <c r="BS427">
        <v>0</v>
      </c>
      <c r="BT427" t="s">
        <v>271</v>
      </c>
      <c r="BU427">
        <v>100</v>
      </c>
      <c r="BV427">
        <v>0</v>
      </c>
      <c r="BW427" t="s">
        <v>268</v>
      </c>
      <c r="BX427" t="s">
        <v>272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100</v>
      </c>
      <c r="CE427">
        <v>0</v>
      </c>
      <c r="CF427">
        <v>0</v>
      </c>
      <c r="CG427">
        <v>0</v>
      </c>
      <c r="CH427">
        <v>0</v>
      </c>
      <c r="CI427">
        <v>0</v>
      </c>
      <c r="CJ427" t="s">
        <v>273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100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100</v>
      </c>
      <c r="CW427" t="s">
        <v>274</v>
      </c>
      <c r="CX427" t="s">
        <v>268</v>
      </c>
      <c r="CY427">
        <v>0</v>
      </c>
    </row>
    <row r="428" spans="5:103" x14ac:dyDescent="0.2">
      <c r="E428">
        <v>0</v>
      </c>
      <c r="F428" t="s">
        <v>155</v>
      </c>
      <c r="G428">
        <v>0</v>
      </c>
      <c r="H428" t="s">
        <v>155</v>
      </c>
      <c r="AL428">
        <v>0</v>
      </c>
      <c r="AM428">
        <v>0.3</v>
      </c>
      <c r="AN428">
        <v>0.3</v>
      </c>
      <c r="AO428">
        <v>0.4</v>
      </c>
      <c r="AP428" t="s">
        <v>268</v>
      </c>
      <c r="AQ428">
        <v>0.3</v>
      </c>
      <c r="AR428">
        <v>0.3</v>
      </c>
      <c r="AS428">
        <v>0.2</v>
      </c>
      <c r="AT428">
        <v>0.2</v>
      </c>
      <c r="AU428" t="s">
        <v>268</v>
      </c>
      <c r="AV428" t="s">
        <v>34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100</v>
      </c>
      <c r="BC428">
        <v>0</v>
      </c>
      <c r="BD428">
        <v>0</v>
      </c>
      <c r="BE428">
        <v>0</v>
      </c>
      <c r="BF428">
        <v>0</v>
      </c>
      <c r="BG428">
        <v>0</v>
      </c>
      <c r="BH428" t="s">
        <v>270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100</v>
      </c>
      <c r="BO428">
        <v>0</v>
      </c>
      <c r="BP428">
        <v>0</v>
      </c>
      <c r="BQ428">
        <v>0</v>
      </c>
      <c r="BR428">
        <v>0</v>
      </c>
      <c r="BS428">
        <v>0</v>
      </c>
      <c r="BT428" t="s">
        <v>271</v>
      </c>
      <c r="BU428">
        <v>100</v>
      </c>
      <c r="BV428">
        <v>0</v>
      </c>
      <c r="BW428" t="s">
        <v>268</v>
      </c>
      <c r="BX428" t="s">
        <v>272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100</v>
      </c>
      <c r="CE428">
        <v>0</v>
      </c>
      <c r="CF428">
        <v>0</v>
      </c>
      <c r="CG428">
        <v>0</v>
      </c>
      <c r="CH428">
        <v>0</v>
      </c>
      <c r="CI428">
        <v>0</v>
      </c>
      <c r="CJ428" t="s">
        <v>273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100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100</v>
      </c>
      <c r="CW428" t="s">
        <v>274</v>
      </c>
      <c r="CX428" t="s">
        <v>268</v>
      </c>
      <c r="CY428">
        <v>0</v>
      </c>
    </row>
    <row r="429" spans="5:103" x14ac:dyDescent="0.2">
      <c r="E429">
        <v>0</v>
      </c>
      <c r="F429" t="s">
        <v>155</v>
      </c>
      <c r="G429">
        <v>0</v>
      </c>
      <c r="H429" t="s">
        <v>155</v>
      </c>
      <c r="AL429">
        <v>0</v>
      </c>
      <c r="AM429">
        <v>0.3</v>
      </c>
      <c r="AN429">
        <v>0.3</v>
      </c>
      <c r="AO429">
        <v>0.4</v>
      </c>
      <c r="AP429" t="s">
        <v>268</v>
      </c>
      <c r="AQ429">
        <v>0.3</v>
      </c>
      <c r="AR429">
        <v>0.3</v>
      </c>
      <c r="AS429">
        <v>0.2</v>
      </c>
      <c r="AT429">
        <v>0.2</v>
      </c>
      <c r="AU429" t="s">
        <v>268</v>
      </c>
      <c r="AV429" t="s">
        <v>34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100</v>
      </c>
      <c r="BC429">
        <v>0</v>
      </c>
      <c r="BD429">
        <v>0</v>
      </c>
      <c r="BE429">
        <v>0</v>
      </c>
      <c r="BF429">
        <v>0</v>
      </c>
      <c r="BG429">
        <v>0</v>
      </c>
      <c r="BH429" t="s">
        <v>270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100</v>
      </c>
      <c r="BO429">
        <v>0</v>
      </c>
      <c r="BP429">
        <v>0</v>
      </c>
      <c r="BQ429">
        <v>0</v>
      </c>
      <c r="BR429">
        <v>0</v>
      </c>
      <c r="BS429">
        <v>0</v>
      </c>
      <c r="BT429" t="s">
        <v>271</v>
      </c>
      <c r="BU429">
        <v>100</v>
      </c>
      <c r="BV429">
        <v>0</v>
      </c>
      <c r="BW429" t="s">
        <v>268</v>
      </c>
      <c r="BX429" t="s">
        <v>272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100</v>
      </c>
      <c r="CE429">
        <v>0</v>
      </c>
      <c r="CF429">
        <v>0</v>
      </c>
      <c r="CG429">
        <v>0</v>
      </c>
      <c r="CH429">
        <v>0</v>
      </c>
      <c r="CI429">
        <v>0</v>
      </c>
      <c r="CJ429" t="s">
        <v>273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100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100</v>
      </c>
      <c r="CW429" t="s">
        <v>274</v>
      </c>
      <c r="CX429" t="s">
        <v>268</v>
      </c>
      <c r="CY429">
        <v>0</v>
      </c>
    </row>
    <row r="430" spans="5:103" x14ac:dyDescent="0.2">
      <c r="E430">
        <v>0</v>
      </c>
      <c r="F430" t="s">
        <v>155</v>
      </c>
      <c r="G430">
        <v>0</v>
      </c>
      <c r="H430" t="s">
        <v>155</v>
      </c>
      <c r="AL430">
        <v>0</v>
      </c>
      <c r="AM430">
        <v>0.3</v>
      </c>
      <c r="AN430">
        <v>0.3</v>
      </c>
      <c r="AO430">
        <v>0.4</v>
      </c>
      <c r="AP430" t="s">
        <v>268</v>
      </c>
      <c r="AQ430">
        <v>0.3</v>
      </c>
      <c r="AR430">
        <v>0.3</v>
      </c>
      <c r="AS430">
        <v>0.2</v>
      </c>
      <c r="AT430">
        <v>0.2</v>
      </c>
      <c r="AU430" t="s">
        <v>268</v>
      </c>
      <c r="AV430" t="s">
        <v>34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100</v>
      </c>
      <c r="BC430">
        <v>0</v>
      </c>
      <c r="BD430">
        <v>0</v>
      </c>
      <c r="BE430">
        <v>0</v>
      </c>
      <c r="BF430">
        <v>0</v>
      </c>
      <c r="BG430">
        <v>0</v>
      </c>
      <c r="BH430" t="s">
        <v>270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100</v>
      </c>
      <c r="BO430">
        <v>0</v>
      </c>
      <c r="BP430">
        <v>0</v>
      </c>
      <c r="BQ430">
        <v>0</v>
      </c>
      <c r="BR430">
        <v>0</v>
      </c>
      <c r="BS430">
        <v>0</v>
      </c>
      <c r="BT430" t="s">
        <v>271</v>
      </c>
      <c r="BU430">
        <v>100</v>
      </c>
      <c r="BV430">
        <v>0</v>
      </c>
      <c r="BW430" t="s">
        <v>268</v>
      </c>
      <c r="BX430" t="s">
        <v>272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100</v>
      </c>
      <c r="CE430">
        <v>0</v>
      </c>
      <c r="CF430">
        <v>0</v>
      </c>
      <c r="CG430">
        <v>0</v>
      </c>
      <c r="CH430">
        <v>0</v>
      </c>
      <c r="CI430">
        <v>0</v>
      </c>
      <c r="CJ430" t="s">
        <v>273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100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100</v>
      </c>
      <c r="CW430" t="s">
        <v>274</v>
      </c>
      <c r="CX430" t="s">
        <v>268</v>
      </c>
      <c r="CY430">
        <v>0</v>
      </c>
    </row>
    <row r="431" spans="5:103" x14ac:dyDescent="0.2">
      <c r="E431">
        <v>0</v>
      </c>
      <c r="F431" t="s">
        <v>155</v>
      </c>
      <c r="G431">
        <v>0</v>
      </c>
      <c r="H431" t="s">
        <v>155</v>
      </c>
      <c r="AL431">
        <v>0</v>
      </c>
      <c r="AM431">
        <v>0.3</v>
      </c>
      <c r="AN431">
        <v>0.3</v>
      </c>
      <c r="AO431">
        <v>0.4</v>
      </c>
      <c r="AP431" t="s">
        <v>268</v>
      </c>
      <c r="AQ431">
        <v>0.3</v>
      </c>
      <c r="AR431">
        <v>0.3</v>
      </c>
      <c r="AS431">
        <v>0.2</v>
      </c>
      <c r="AT431">
        <v>0.2</v>
      </c>
      <c r="AU431" t="s">
        <v>268</v>
      </c>
      <c r="AV431" t="s">
        <v>34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100</v>
      </c>
      <c r="BC431">
        <v>0</v>
      </c>
      <c r="BD431">
        <v>0</v>
      </c>
      <c r="BE431">
        <v>0</v>
      </c>
      <c r="BF431">
        <v>0</v>
      </c>
      <c r="BG431">
        <v>0</v>
      </c>
      <c r="BH431" t="s">
        <v>270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100</v>
      </c>
      <c r="BO431">
        <v>0</v>
      </c>
      <c r="BP431">
        <v>0</v>
      </c>
      <c r="BQ431">
        <v>0</v>
      </c>
      <c r="BR431">
        <v>0</v>
      </c>
      <c r="BS431">
        <v>0</v>
      </c>
      <c r="BT431" t="s">
        <v>271</v>
      </c>
      <c r="BU431">
        <v>100</v>
      </c>
      <c r="BV431">
        <v>0</v>
      </c>
      <c r="BW431" t="s">
        <v>268</v>
      </c>
      <c r="BX431" t="s">
        <v>272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100</v>
      </c>
      <c r="CE431">
        <v>0</v>
      </c>
      <c r="CF431">
        <v>0</v>
      </c>
      <c r="CG431">
        <v>0</v>
      </c>
      <c r="CH431">
        <v>0</v>
      </c>
      <c r="CI431">
        <v>0</v>
      </c>
      <c r="CJ431" t="s">
        <v>273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100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100</v>
      </c>
      <c r="CW431" t="s">
        <v>274</v>
      </c>
      <c r="CX431" t="s">
        <v>268</v>
      </c>
      <c r="CY431">
        <v>0</v>
      </c>
    </row>
    <row r="432" spans="5:103" x14ac:dyDescent="0.2">
      <c r="E432">
        <v>0</v>
      </c>
      <c r="F432" t="s">
        <v>155</v>
      </c>
      <c r="G432">
        <v>0</v>
      </c>
      <c r="H432" t="s">
        <v>155</v>
      </c>
      <c r="AL432">
        <v>0</v>
      </c>
      <c r="AM432">
        <v>0.3</v>
      </c>
      <c r="AN432">
        <v>0.3</v>
      </c>
      <c r="AO432">
        <v>0.4</v>
      </c>
      <c r="AP432" t="s">
        <v>268</v>
      </c>
      <c r="AQ432">
        <v>0.3</v>
      </c>
      <c r="AR432">
        <v>0.3</v>
      </c>
      <c r="AS432">
        <v>0.2</v>
      </c>
      <c r="AT432">
        <v>0.2</v>
      </c>
      <c r="AU432" t="s">
        <v>268</v>
      </c>
      <c r="AV432" t="s">
        <v>34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100</v>
      </c>
      <c r="BC432">
        <v>0</v>
      </c>
      <c r="BD432">
        <v>0</v>
      </c>
      <c r="BE432">
        <v>0</v>
      </c>
      <c r="BF432">
        <v>0</v>
      </c>
      <c r="BG432">
        <v>0</v>
      </c>
      <c r="BH432" t="s">
        <v>270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100</v>
      </c>
      <c r="BO432">
        <v>0</v>
      </c>
      <c r="BP432">
        <v>0</v>
      </c>
      <c r="BQ432">
        <v>0</v>
      </c>
      <c r="BR432">
        <v>0</v>
      </c>
      <c r="BS432">
        <v>0</v>
      </c>
      <c r="BT432" t="s">
        <v>271</v>
      </c>
      <c r="BU432">
        <v>100</v>
      </c>
      <c r="BV432">
        <v>0</v>
      </c>
      <c r="BW432" t="s">
        <v>268</v>
      </c>
      <c r="BX432" t="s">
        <v>272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100</v>
      </c>
      <c r="CE432">
        <v>0</v>
      </c>
      <c r="CF432">
        <v>0</v>
      </c>
      <c r="CG432">
        <v>0</v>
      </c>
      <c r="CH432">
        <v>0</v>
      </c>
      <c r="CI432">
        <v>0</v>
      </c>
      <c r="CJ432" t="s">
        <v>273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100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100</v>
      </c>
      <c r="CW432" t="s">
        <v>274</v>
      </c>
      <c r="CX432" t="s">
        <v>268</v>
      </c>
      <c r="CY432">
        <v>0</v>
      </c>
    </row>
    <row r="433" spans="5:103" x14ac:dyDescent="0.2">
      <c r="E433">
        <v>0</v>
      </c>
      <c r="F433" t="s">
        <v>155</v>
      </c>
      <c r="G433">
        <v>0</v>
      </c>
      <c r="H433" t="s">
        <v>155</v>
      </c>
      <c r="AL433">
        <v>0</v>
      </c>
      <c r="AM433">
        <v>0.3</v>
      </c>
      <c r="AN433">
        <v>0.3</v>
      </c>
      <c r="AO433">
        <v>0.4</v>
      </c>
      <c r="AP433" t="s">
        <v>268</v>
      </c>
      <c r="AQ433">
        <v>0.3</v>
      </c>
      <c r="AR433">
        <v>0.3</v>
      </c>
      <c r="AS433">
        <v>0.2</v>
      </c>
      <c r="AT433">
        <v>0.2</v>
      </c>
      <c r="AU433" t="s">
        <v>268</v>
      </c>
      <c r="AV433" t="s">
        <v>34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100</v>
      </c>
      <c r="BC433">
        <v>0</v>
      </c>
      <c r="BD433">
        <v>0</v>
      </c>
      <c r="BE433">
        <v>0</v>
      </c>
      <c r="BF433">
        <v>0</v>
      </c>
      <c r="BG433">
        <v>0</v>
      </c>
      <c r="BH433" t="s">
        <v>270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100</v>
      </c>
      <c r="BO433">
        <v>0</v>
      </c>
      <c r="BP433">
        <v>0</v>
      </c>
      <c r="BQ433">
        <v>0</v>
      </c>
      <c r="BR433">
        <v>0</v>
      </c>
      <c r="BS433">
        <v>0</v>
      </c>
      <c r="BT433" t="s">
        <v>271</v>
      </c>
      <c r="BU433">
        <v>100</v>
      </c>
      <c r="BV433">
        <v>0</v>
      </c>
      <c r="BW433" t="s">
        <v>268</v>
      </c>
      <c r="BX433" t="s">
        <v>272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100</v>
      </c>
      <c r="CE433">
        <v>0</v>
      </c>
      <c r="CF433">
        <v>0</v>
      </c>
      <c r="CG433">
        <v>0</v>
      </c>
      <c r="CH433">
        <v>0</v>
      </c>
      <c r="CI433">
        <v>0</v>
      </c>
      <c r="CJ433" t="s">
        <v>273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100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100</v>
      </c>
      <c r="CW433" t="s">
        <v>274</v>
      </c>
      <c r="CX433" t="s">
        <v>268</v>
      </c>
      <c r="CY433">
        <v>0</v>
      </c>
    </row>
    <row r="434" spans="5:103" x14ac:dyDescent="0.2">
      <c r="E434">
        <v>0</v>
      </c>
      <c r="F434" t="s">
        <v>155</v>
      </c>
      <c r="G434">
        <v>0</v>
      </c>
      <c r="H434" t="s">
        <v>155</v>
      </c>
      <c r="AL434">
        <v>0</v>
      </c>
      <c r="AM434">
        <v>0.3</v>
      </c>
      <c r="AN434">
        <v>0.3</v>
      </c>
      <c r="AO434">
        <v>0.4</v>
      </c>
      <c r="AP434" t="s">
        <v>268</v>
      </c>
      <c r="AQ434">
        <v>0.3</v>
      </c>
      <c r="AR434">
        <v>0.3</v>
      </c>
      <c r="AS434">
        <v>0.2</v>
      </c>
      <c r="AT434">
        <v>0.2</v>
      </c>
      <c r="AU434" t="s">
        <v>268</v>
      </c>
      <c r="AV434" t="s">
        <v>34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100</v>
      </c>
      <c r="BC434">
        <v>0</v>
      </c>
      <c r="BD434">
        <v>0</v>
      </c>
      <c r="BE434">
        <v>0</v>
      </c>
      <c r="BF434">
        <v>0</v>
      </c>
      <c r="BG434">
        <v>0</v>
      </c>
      <c r="BH434" t="s">
        <v>270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100</v>
      </c>
      <c r="BO434">
        <v>0</v>
      </c>
      <c r="BP434">
        <v>0</v>
      </c>
      <c r="BQ434">
        <v>0</v>
      </c>
      <c r="BR434">
        <v>0</v>
      </c>
      <c r="BS434">
        <v>0</v>
      </c>
      <c r="BT434" t="s">
        <v>271</v>
      </c>
      <c r="BU434">
        <v>100</v>
      </c>
      <c r="BV434">
        <v>0</v>
      </c>
      <c r="BW434" t="s">
        <v>268</v>
      </c>
      <c r="BX434" t="s">
        <v>272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100</v>
      </c>
      <c r="CE434">
        <v>0</v>
      </c>
      <c r="CF434">
        <v>0</v>
      </c>
      <c r="CG434">
        <v>0</v>
      </c>
      <c r="CH434">
        <v>0</v>
      </c>
      <c r="CI434">
        <v>0</v>
      </c>
      <c r="CJ434" t="s">
        <v>273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100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100</v>
      </c>
      <c r="CW434" t="s">
        <v>274</v>
      </c>
      <c r="CX434" t="s">
        <v>268</v>
      </c>
      <c r="CY434">
        <v>0</v>
      </c>
    </row>
    <row r="435" spans="5:103" x14ac:dyDescent="0.2">
      <c r="E435">
        <v>0</v>
      </c>
      <c r="F435" t="s">
        <v>155</v>
      </c>
      <c r="G435">
        <v>0</v>
      </c>
      <c r="H435" t="s">
        <v>155</v>
      </c>
      <c r="AL435">
        <v>0</v>
      </c>
      <c r="AM435">
        <v>0.3</v>
      </c>
      <c r="AN435">
        <v>0.3</v>
      </c>
      <c r="AO435">
        <v>0.4</v>
      </c>
      <c r="AP435" t="s">
        <v>268</v>
      </c>
      <c r="AQ435">
        <v>0.3</v>
      </c>
      <c r="AR435">
        <v>0.3</v>
      </c>
      <c r="AS435">
        <v>0.2</v>
      </c>
      <c r="AT435">
        <v>0.2</v>
      </c>
      <c r="AU435" t="s">
        <v>268</v>
      </c>
      <c r="AV435" t="s">
        <v>34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100</v>
      </c>
      <c r="BC435">
        <v>0</v>
      </c>
      <c r="BD435">
        <v>0</v>
      </c>
      <c r="BE435">
        <v>0</v>
      </c>
      <c r="BF435">
        <v>0</v>
      </c>
      <c r="BG435">
        <v>0</v>
      </c>
      <c r="BH435" t="s">
        <v>270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100</v>
      </c>
      <c r="BO435">
        <v>0</v>
      </c>
      <c r="BP435">
        <v>0</v>
      </c>
      <c r="BQ435">
        <v>0</v>
      </c>
      <c r="BR435">
        <v>0</v>
      </c>
      <c r="BS435">
        <v>0</v>
      </c>
      <c r="BT435" t="s">
        <v>271</v>
      </c>
      <c r="BU435">
        <v>100</v>
      </c>
      <c r="BV435">
        <v>0</v>
      </c>
      <c r="BW435" t="s">
        <v>268</v>
      </c>
      <c r="BX435" t="s">
        <v>272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100</v>
      </c>
      <c r="CE435">
        <v>0</v>
      </c>
      <c r="CF435">
        <v>0</v>
      </c>
      <c r="CG435">
        <v>0</v>
      </c>
      <c r="CH435">
        <v>0</v>
      </c>
      <c r="CI435">
        <v>0</v>
      </c>
      <c r="CJ435" t="s">
        <v>273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100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100</v>
      </c>
      <c r="CW435" t="s">
        <v>274</v>
      </c>
      <c r="CX435" t="s">
        <v>268</v>
      </c>
      <c r="CY435">
        <v>0</v>
      </c>
    </row>
    <row r="436" spans="5:103" x14ac:dyDescent="0.2">
      <c r="E436">
        <v>0</v>
      </c>
      <c r="F436" t="s">
        <v>155</v>
      </c>
      <c r="G436">
        <v>0</v>
      </c>
      <c r="H436" t="s">
        <v>155</v>
      </c>
      <c r="AL436">
        <v>0</v>
      </c>
      <c r="AM436">
        <v>0.3</v>
      </c>
      <c r="AN436">
        <v>0.3</v>
      </c>
      <c r="AO436">
        <v>0.4</v>
      </c>
      <c r="AP436" t="s">
        <v>268</v>
      </c>
      <c r="AQ436">
        <v>0.3</v>
      </c>
      <c r="AR436">
        <v>0.3</v>
      </c>
      <c r="AS436">
        <v>0.2</v>
      </c>
      <c r="AT436">
        <v>0.2</v>
      </c>
      <c r="AU436" t="s">
        <v>268</v>
      </c>
      <c r="AV436" t="s">
        <v>34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100</v>
      </c>
      <c r="BC436">
        <v>0</v>
      </c>
      <c r="BD436">
        <v>0</v>
      </c>
      <c r="BE436">
        <v>0</v>
      </c>
      <c r="BF436">
        <v>0</v>
      </c>
      <c r="BG436">
        <v>0</v>
      </c>
      <c r="BH436" t="s">
        <v>270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100</v>
      </c>
      <c r="BO436">
        <v>0</v>
      </c>
      <c r="BP436">
        <v>0</v>
      </c>
      <c r="BQ436">
        <v>0</v>
      </c>
      <c r="BR436">
        <v>0</v>
      </c>
      <c r="BS436">
        <v>0</v>
      </c>
      <c r="BT436" t="s">
        <v>271</v>
      </c>
      <c r="BU436">
        <v>100</v>
      </c>
      <c r="BV436">
        <v>0</v>
      </c>
      <c r="BW436" t="s">
        <v>268</v>
      </c>
      <c r="BX436" t="s">
        <v>272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100</v>
      </c>
      <c r="CE436">
        <v>0</v>
      </c>
      <c r="CF436">
        <v>0</v>
      </c>
      <c r="CG436">
        <v>0</v>
      </c>
      <c r="CH436">
        <v>0</v>
      </c>
      <c r="CI436">
        <v>0</v>
      </c>
      <c r="CJ436" t="s">
        <v>273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100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100</v>
      </c>
      <c r="CW436" t="s">
        <v>274</v>
      </c>
      <c r="CX436" t="s">
        <v>268</v>
      </c>
      <c r="CY436">
        <v>0</v>
      </c>
    </row>
    <row r="437" spans="5:103" x14ac:dyDescent="0.2">
      <c r="E437">
        <v>0</v>
      </c>
      <c r="F437" t="s">
        <v>155</v>
      </c>
      <c r="G437">
        <v>0</v>
      </c>
      <c r="H437" t="s">
        <v>155</v>
      </c>
      <c r="AL437">
        <v>0</v>
      </c>
      <c r="AM437">
        <v>0.3</v>
      </c>
      <c r="AN437">
        <v>0.3</v>
      </c>
      <c r="AO437">
        <v>0.4</v>
      </c>
      <c r="AP437" t="s">
        <v>268</v>
      </c>
      <c r="AQ437">
        <v>0.3</v>
      </c>
      <c r="AR437">
        <v>0.3</v>
      </c>
      <c r="AS437">
        <v>0.2</v>
      </c>
      <c r="AT437">
        <v>0.2</v>
      </c>
      <c r="AU437" t="s">
        <v>268</v>
      </c>
      <c r="AV437" t="s">
        <v>34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100</v>
      </c>
      <c r="BC437">
        <v>0</v>
      </c>
      <c r="BD437">
        <v>0</v>
      </c>
      <c r="BE437">
        <v>0</v>
      </c>
      <c r="BF437">
        <v>0</v>
      </c>
      <c r="BG437">
        <v>0</v>
      </c>
      <c r="BH437" t="s">
        <v>270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100</v>
      </c>
      <c r="BO437">
        <v>0</v>
      </c>
      <c r="BP437">
        <v>0</v>
      </c>
      <c r="BQ437">
        <v>0</v>
      </c>
      <c r="BR437">
        <v>0</v>
      </c>
      <c r="BS437">
        <v>0</v>
      </c>
      <c r="BT437" t="s">
        <v>271</v>
      </c>
      <c r="BU437">
        <v>100</v>
      </c>
      <c r="BV437">
        <v>0</v>
      </c>
      <c r="BW437" t="s">
        <v>268</v>
      </c>
      <c r="BX437" t="s">
        <v>272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100</v>
      </c>
      <c r="CE437">
        <v>0</v>
      </c>
      <c r="CF437">
        <v>0</v>
      </c>
      <c r="CG437">
        <v>0</v>
      </c>
      <c r="CH437">
        <v>0</v>
      </c>
      <c r="CI437">
        <v>0</v>
      </c>
      <c r="CJ437" t="s">
        <v>273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100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100</v>
      </c>
      <c r="CW437" t="s">
        <v>274</v>
      </c>
      <c r="CX437" t="s">
        <v>268</v>
      </c>
      <c r="CY437">
        <v>0</v>
      </c>
    </row>
    <row r="438" spans="5:103" x14ac:dyDescent="0.2">
      <c r="E438">
        <v>0</v>
      </c>
      <c r="F438" t="s">
        <v>155</v>
      </c>
      <c r="G438">
        <v>0</v>
      </c>
      <c r="H438" t="s">
        <v>155</v>
      </c>
      <c r="AL438">
        <v>0</v>
      </c>
      <c r="AM438">
        <v>0.3</v>
      </c>
      <c r="AN438">
        <v>0.3</v>
      </c>
      <c r="AO438">
        <v>0.4</v>
      </c>
      <c r="AP438" t="s">
        <v>268</v>
      </c>
      <c r="AQ438">
        <v>0.3</v>
      </c>
      <c r="AR438">
        <v>0.3</v>
      </c>
      <c r="AS438">
        <v>0.2</v>
      </c>
      <c r="AT438">
        <v>0.2</v>
      </c>
      <c r="AU438" t="s">
        <v>268</v>
      </c>
      <c r="AV438" t="s">
        <v>34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100</v>
      </c>
      <c r="BC438">
        <v>0</v>
      </c>
      <c r="BD438">
        <v>0</v>
      </c>
      <c r="BE438">
        <v>0</v>
      </c>
      <c r="BF438">
        <v>0</v>
      </c>
      <c r="BG438">
        <v>0</v>
      </c>
      <c r="BH438" t="s">
        <v>270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100</v>
      </c>
      <c r="BO438">
        <v>0</v>
      </c>
      <c r="BP438">
        <v>0</v>
      </c>
      <c r="BQ438">
        <v>0</v>
      </c>
      <c r="BR438">
        <v>0</v>
      </c>
      <c r="BS438">
        <v>0</v>
      </c>
      <c r="BT438" t="s">
        <v>271</v>
      </c>
      <c r="BU438">
        <v>100</v>
      </c>
      <c r="BV438">
        <v>0</v>
      </c>
      <c r="BW438" t="s">
        <v>268</v>
      </c>
      <c r="BX438" t="s">
        <v>272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100</v>
      </c>
      <c r="CE438">
        <v>0</v>
      </c>
      <c r="CF438">
        <v>0</v>
      </c>
      <c r="CG438">
        <v>0</v>
      </c>
      <c r="CH438">
        <v>0</v>
      </c>
      <c r="CI438">
        <v>0</v>
      </c>
      <c r="CJ438" t="s">
        <v>273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100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100</v>
      </c>
      <c r="CW438" t="s">
        <v>274</v>
      </c>
      <c r="CX438" t="s">
        <v>268</v>
      </c>
      <c r="CY438">
        <v>0</v>
      </c>
    </row>
    <row r="439" spans="5:103" x14ac:dyDescent="0.2">
      <c r="E439">
        <v>0</v>
      </c>
      <c r="F439" t="s">
        <v>155</v>
      </c>
      <c r="G439">
        <v>0</v>
      </c>
      <c r="H439" t="s">
        <v>155</v>
      </c>
      <c r="AL439">
        <v>0</v>
      </c>
      <c r="AM439">
        <v>0.3</v>
      </c>
      <c r="AN439">
        <v>0.3</v>
      </c>
      <c r="AO439">
        <v>0.4</v>
      </c>
      <c r="AP439" t="s">
        <v>268</v>
      </c>
      <c r="AQ439">
        <v>0.3</v>
      </c>
      <c r="AR439">
        <v>0.3</v>
      </c>
      <c r="AS439">
        <v>0.2</v>
      </c>
      <c r="AT439">
        <v>0.2</v>
      </c>
      <c r="AU439" t="s">
        <v>268</v>
      </c>
      <c r="AV439" t="s">
        <v>34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100</v>
      </c>
      <c r="BC439">
        <v>0</v>
      </c>
      <c r="BD439">
        <v>0</v>
      </c>
      <c r="BE439">
        <v>0</v>
      </c>
      <c r="BF439">
        <v>0</v>
      </c>
      <c r="BG439">
        <v>0</v>
      </c>
      <c r="BH439" t="s">
        <v>270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100</v>
      </c>
      <c r="BO439">
        <v>0</v>
      </c>
      <c r="BP439">
        <v>0</v>
      </c>
      <c r="BQ439">
        <v>0</v>
      </c>
      <c r="BR439">
        <v>0</v>
      </c>
      <c r="BS439">
        <v>0</v>
      </c>
      <c r="BT439" t="s">
        <v>271</v>
      </c>
      <c r="BU439">
        <v>100</v>
      </c>
      <c r="BV439">
        <v>0</v>
      </c>
      <c r="BW439" t="s">
        <v>268</v>
      </c>
      <c r="BX439" t="s">
        <v>272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100</v>
      </c>
      <c r="CE439">
        <v>0</v>
      </c>
      <c r="CF439">
        <v>0</v>
      </c>
      <c r="CG439">
        <v>0</v>
      </c>
      <c r="CH439">
        <v>0</v>
      </c>
      <c r="CI439">
        <v>0</v>
      </c>
      <c r="CJ439" t="s">
        <v>273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100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100</v>
      </c>
      <c r="CW439" t="s">
        <v>274</v>
      </c>
      <c r="CX439" t="s">
        <v>268</v>
      </c>
      <c r="CY439">
        <v>0</v>
      </c>
    </row>
    <row r="440" spans="5:103" x14ac:dyDescent="0.2">
      <c r="E440">
        <v>0</v>
      </c>
      <c r="F440" t="s">
        <v>155</v>
      </c>
      <c r="G440">
        <v>0</v>
      </c>
      <c r="H440" t="s">
        <v>155</v>
      </c>
      <c r="AL440">
        <v>0</v>
      </c>
      <c r="AM440">
        <v>0.3</v>
      </c>
      <c r="AN440">
        <v>0.3</v>
      </c>
      <c r="AO440">
        <v>0.4</v>
      </c>
      <c r="AP440" t="s">
        <v>268</v>
      </c>
      <c r="AQ440">
        <v>0.3</v>
      </c>
      <c r="AR440">
        <v>0.3</v>
      </c>
      <c r="AS440">
        <v>0.2</v>
      </c>
      <c r="AT440">
        <v>0.2</v>
      </c>
      <c r="AU440" t="s">
        <v>268</v>
      </c>
      <c r="AV440" t="s">
        <v>34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100</v>
      </c>
      <c r="BC440">
        <v>0</v>
      </c>
      <c r="BD440">
        <v>0</v>
      </c>
      <c r="BE440">
        <v>0</v>
      </c>
      <c r="BF440">
        <v>0</v>
      </c>
      <c r="BG440">
        <v>0</v>
      </c>
      <c r="BH440" t="s">
        <v>270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100</v>
      </c>
      <c r="BO440">
        <v>0</v>
      </c>
      <c r="BP440">
        <v>0</v>
      </c>
      <c r="BQ440">
        <v>0</v>
      </c>
      <c r="BR440">
        <v>0</v>
      </c>
      <c r="BS440">
        <v>0</v>
      </c>
      <c r="BT440" t="s">
        <v>271</v>
      </c>
      <c r="BU440">
        <v>100</v>
      </c>
      <c r="BV440">
        <v>0</v>
      </c>
      <c r="BW440" t="s">
        <v>268</v>
      </c>
      <c r="BX440" t="s">
        <v>272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100</v>
      </c>
      <c r="CE440">
        <v>0</v>
      </c>
      <c r="CF440">
        <v>0</v>
      </c>
      <c r="CG440">
        <v>0</v>
      </c>
      <c r="CH440">
        <v>0</v>
      </c>
      <c r="CI440">
        <v>0</v>
      </c>
      <c r="CJ440" t="s">
        <v>273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100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100</v>
      </c>
      <c r="CW440" t="s">
        <v>274</v>
      </c>
      <c r="CX440" t="s">
        <v>268</v>
      </c>
      <c r="CY440">
        <v>0</v>
      </c>
    </row>
    <row r="441" spans="5:103" x14ac:dyDescent="0.2">
      <c r="E441">
        <v>0</v>
      </c>
      <c r="F441" t="s">
        <v>155</v>
      </c>
      <c r="G441">
        <v>0</v>
      </c>
      <c r="H441" t="s">
        <v>155</v>
      </c>
      <c r="AL441">
        <v>0</v>
      </c>
      <c r="AM441">
        <v>0.3</v>
      </c>
      <c r="AN441">
        <v>0.3</v>
      </c>
      <c r="AO441">
        <v>0.4</v>
      </c>
      <c r="AP441" t="s">
        <v>268</v>
      </c>
      <c r="AQ441">
        <v>0.3</v>
      </c>
      <c r="AR441">
        <v>0.3</v>
      </c>
      <c r="AS441">
        <v>0.2</v>
      </c>
      <c r="AT441">
        <v>0.2</v>
      </c>
      <c r="AU441" t="s">
        <v>268</v>
      </c>
      <c r="AV441" t="s">
        <v>34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100</v>
      </c>
      <c r="BC441">
        <v>0</v>
      </c>
      <c r="BD441">
        <v>0</v>
      </c>
      <c r="BE441">
        <v>0</v>
      </c>
      <c r="BF441">
        <v>0</v>
      </c>
      <c r="BG441">
        <v>0</v>
      </c>
      <c r="BH441" t="s">
        <v>270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100</v>
      </c>
      <c r="BO441">
        <v>0</v>
      </c>
      <c r="BP441">
        <v>0</v>
      </c>
      <c r="BQ441">
        <v>0</v>
      </c>
      <c r="BR441">
        <v>0</v>
      </c>
      <c r="BS441">
        <v>0</v>
      </c>
      <c r="BT441" t="s">
        <v>271</v>
      </c>
      <c r="BU441">
        <v>100</v>
      </c>
      <c r="BV441">
        <v>0</v>
      </c>
      <c r="BW441" t="s">
        <v>268</v>
      </c>
      <c r="BX441" t="s">
        <v>272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100</v>
      </c>
      <c r="CE441">
        <v>0</v>
      </c>
      <c r="CF441">
        <v>0</v>
      </c>
      <c r="CG441">
        <v>0</v>
      </c>
      <c r="CH441">
        <v>0</v>
      </c>
      <c r="CI441">
        <v>0</v>
      </c>
      <c r="CJ441" t="s">
        <v>273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100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100</v>
      </c>
      <c r="CW441" t="s">
        <v>274</v>
      </c>
      <c r="CX441" t="s">
        <v>268</v>
      </c>
      <c r="CY441">
        <v>0</v>
      </c>
    </row>
    <row r="442" spans="5:103" x14ac:dyDescent="0.2">
      <c r="E442">
        <v>0</v>
      </c>
      <c r="F442" t="s">
        <v>155</v>
      </c>
      <c r="G442">
        <v>0</v>
      </c>
      <c r="H442" t="s">
        <v>155</v>
      </c>
      <c r="AL442">
        <v>0</v>
      </c>
      <c r="AM442">
        <v>0.3</v>
      </c>
      <c r="AN442">
        <v>0.3</v>
      </c>
      <c r="AO442">
        <v>0.4</v>
      </c>
      <c r="AP442" t="s">
        <v>268</v>
      </c>
      <c r="AQ442">
        <v>0.3</v>
      </c>
      <c r="AR442">
        <v>0.3</v>
      </c>
      <c r="AS442">
        <v>0.2</v>
      </c>
      <c r="AT442">
        <v>0.2</v>
      </c>
      <c r="AU442" t="s">
        <v>268</v>
      </c>
      <c r="AV442" t="s">
        <v>34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100</v>
      </c>
      <c r="BC442">
        <v>0</v>
      </c>
      <c r="BD442">
        <v>0</v>
      </c>
      <c r="BE442">
        <v>0</v>
      </c>
      <c r="BF442">
        <v>0</v>
      </c>
      <c r="BG442">
        <v>0</v>
      </c>
      <c r="BH442" t="s">
        <v>270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100</v>
      </c>
      <c r="BO442">
        <v>0</v>
      </c>
      <c r="BP442">
        <v>0</v>
      </c>
      <c r="BQ442">
        <v>0</v>
      </c>
      <c r="BR442">
        <v>0</v>
      </c>
      <c r="BS442">
        <v>0</v>
      </c>
      <c r="BT442" t="s">
        <v>271</v>
      </c>
      <c r="BU442">
        <v>100</v>
      </c>
      <c r="BV442">
        <v>0</v>
      </c>
      <c r="BW442" t="s">
        <v>268</v>
      </c>
      <c r="BX442" t="s">
        <v>272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100</v>
      </c>
      <c r="CE442">
        <v>0</v>
      </c>
      <c r="CF442">
        <v>0</v>
      </c>
      <c r="CG442">
        <v>0</v>
      </c>
      <c r="CH442">
        <v>0</v>
      </c>
      <c r="CI442">
        <v>0</v>
      </c>
      <c r="CJ442" t="s">
        <v>273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100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100</v>
      </c>
      <c r="CW442" t="s">
        <v>274</v>
      </c>
      <c r="CX442" t="s">
        <v>268</v>
      </c>
      <c r="CY442">
        <v>0</v>
      </c>
    </row>
    <row r="443" spans="5:103" x14ac:dyDescent="0.2">
      <c r="E443">
        <v>0</v>
      </c>
      <c r="F443" t="s">
        <v>155</v>
      </c>
      <c r="G443">
        <v>0</v>
      </c>
      <c r="H443" t="s">
        <v>155</v>
      </c>
      <c r="AL443">
        <v>0</v>
      </c>
      <c r="AM443">
        <v>0.3</v>
      </c>
      <c r="AN443">
        <v>0.3</v>
      </c>
      <c r="AO443">
        <v>0.4</v>
      </c>
      <c r="AP443" t="s">
        <v>268</v>
      </c>
      <c r="AQ443">
        <v>0.3</v>
      </c>
      <c r="AR443">
        <v>0.3</v>
      </c>
      <c r="AS443">
        <v>0.2</v>
      </c>
      <c r="AT443">
        <v>0.2</v>
      </c>
      <c r="AU443" t="s">
        <v>268</v>
      </c>
      <c r="AV443" t="s">
        <v>34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100</v>
      </c>
      <c r="BC443">
        <v>0</v>
      </c>
      <c r="BD443">
        <v>0</v>
      </c>
      <c r="BE443">
        <v>0</v>
      </c>
      <c r="BF443">
        <v>0</v>
      </c>
      <c r="BG443">
        <v>0</v>
      </c>
      <c r="BH443" t="s">
        <v>270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100</v>
      </c>
      <c r="BO443">
        <v>0</v>
      </c>
      <c r="BP443">
        <v>0</v>
      </c>
      <c r="BQ443">
        <v>0</v>
      </c>
      <c r="BR443">
        <v>0</v>
      </c>
      <c r="BS443">
        <v>0</v>
      </c>
      <c r="BT443" t="s">
        <v>271</v>
      </c>
      <c r="BU443">
        <v>100</v>
      </c>
      <c r="BV443">
        <v>0</v>
      </c>
      <c r="BW443" t="s">
        <v>268</v>
      </c>
      <c r="BX443" t="s">
        <v>272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100</v>
      </c>
      <c r="CE443">
        <v>0</v>
      </c>
      <c r="CF443">
        <v>0</v>
      </c>
      <c r="CG443">
        <v>0</v>
      </c>
      <c r="CH443">
        <v>0</v>
      </c>
      <c r="CI443">
        <v>0</v>
      </c>
      <c r="CJ443" t="s">
        <v>273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100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100</v>
      </c>
      <c r="CW443" t="s">
        <v>274</v>
      </c>
      <c r="CX443" t="s">
        <v>268</v>
      </c>
      <c r="CY443">
        <v>0</v>
      </c>
    </row>
    <row r="444" spans="5:103" x14ac:dyDescent="0.2">
      <c r="E444">
        <v>0</v>
      </c>
      <c r="F444" t="s">
        <v>155</v>
      </c>
      <c r="G444">
        <v>0</v>
      </c>
      <c r="H444" t="s">
        <v>155</v>
      </c>
      <c r="AL444">
        <v>0</v>
      </c>
      <c r="AM444">
        <v>0.3</v>
      </c>
      <c r="AN444">
        <v>0.3</v>
      </c>
      <c r="AO444">
        <v>0.4</v>
      </c>
      <c r="AP444" t="s">
        <v>268</v>
      </c>
      <c r="AQ444">
        <v>0.3</v>
      </c>
      <c r="AR444">
        <v>0.3</v>
      </c>
      <c r="AS444">
        <v>0.2</v>
      </c>
      <c r="AT444">
        <v>0.2</v>
      </c>
      <c r="AU444" t="s">
        <v>268</v>
      </c>
      <c r="AV444" t="s">
        <v>34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100</v>
      </c>
      <c r="BC444">
        <v>0</v>
      </c>
      <c r="BD444">
        <v>0</v>
      </c>
      <c r="BE444">
        <v>0</v>
      </c>
      <c r="BF444">
        <v>0</v>
      </c>
      <c r="BG444">
        <v>0</v>
      </c>
      <c r="BH444" t="s">
        <v>270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100</v>
      </c>
      <c r="BO444">
        <v>0</v>
      </c>
      <c r="BP444">
        <v>0</v>
      </c>
      <c r="BQ444">
        <v>0</v>
      </c>
      <c r="BR444">
        <v>0</v>
      </c>
      <c r="BS444">
        <v>0</v>
      </c>
      <c r="BT444" t="s">
        <v>271</v>
      </c>
      <c r="BU444">
        <v>100</v>
      </c>
      <c r="BV444">
        <v>0</v>
      </c>
      <c r="BW444" t="s">
        <v>268</v>
      </c>
      <c r="BX444" t="s">
        <v>272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100</v>
      </c>
      <c r="CE444">
        <v>0</v>
      </c>
      <c r="CF444">
        <v>0</v>
      </c>
      <c r="CG444">
        <v>0</v>
      </c>
      <c r="CH444">
        <v>0</v>
      </c>
      <c r="CI444">
        <v>0</v>
      </c>
      <c r="CJ444" t="s">
        <v>273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100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100</v>
      </c>
      <c r="CW444" t="s">
        <v>274</v>
      </c>
      <c r="CX444" t="s">
        <v>268</v>
      </c>
      <c r="CY444">
        <v>0</v>
      </c>
    </row>
    <row r="445" spans="5:103" x14ac:dyDescent="0.2">
      <c r="E445">
        <v>0</v>
      </c>
      <c r="F445" t="s">
        <v>155</v>
      </c>
      <c r="G445">
        <v>0</v>
      </c>
      <c r="H445" t="s">
        <v>155</v>
      </c>
      <c r="AL445">
        <v>0</v>
      </c>
      <c r="AM445">
        <v>0.3</v>
      </c>
      <c r="AN445">
        <v>0.3</v>
      </c>
      <c r="AO445">
        <v>0.4</v>
      </c>
      <c r="AP445" t="s">
        <v>268</v>
      </c>
      <c r="AQ445">
        <v>0.3</v>
      </c>
      <c r="AR445">
        <v>0.3</v>
      </c>
      <c r="AS445">
        <v>0.2</v>
      </c>
      <c r="AT445">
        <v>0.2</v>
      </c>
      <c r="AU445" t="s">
        <v>268</v>
      </c>
      <c r="AV445" t="s">
        <v>34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100</v>
      </c>
      <c r="BC445">
        <v>0</v>
      </c>
      <c r="BD445">
        <v>0</v>
      </c>
      <c r="BE445">
        <v>0</v>
      </c>
      <c r="BF445">
        <v>0</v>
      </c>
      <c r="BG445">
        <v>0</v>
      </c>
      <c r="BH445" t="s">
        <v>270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100</v>
      </c>
      <c r="BO445">
        <v>0</v>
      </c>
      <c r="BP445">
        <v>0</v>
      </c>
      <c r="BQ445">
        <v>0</v>
      </c>
      <c r="BR445">
        <v>0</v>
      </c>
      <c r="BS445">
        <v>0</v>
      </c>
      <c r="BT445" t="s">
        <v>271</v>
      </c>
      <c r="BU445">
        <v>100</v>
      </c>
      <c r="BV445">
        <v>0</v>
      </c>
      <c r="BW445" t="s">
        <v>268</v>
      </c>
      <c r="BX445" t="s">
        <v>272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100</v>
      </c>
      <c r="CE445">
        <v>0</v>
      </c>
      <c r="CF445">
        <v>0</v>
      </c>
      <c r="CG445">
        <v>0</v>
      </c>
      <c r="CH445">
        <v>0</v>
      </c>
      <c r="CI445">
        <v>0</v>
      </c>
      <c r="CJ445" t="s">
        <v>273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100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100</v>
      </c>
      <c r="CW445" t="s">
        <v>274</v>
      </c>
      <c r="CX445" t="s">
        <v>268</v>
      </c>
      <c r="CY445">
        <v>0</v>
      </c>
    </row>
    <row r="446" spans="5:103" x14ac:dyDescent="0.2">
      <c r="E446">
        <v>0</v>
      </c>
      <c r="F446" t="s">
        <v>155</v>
      </c>
      <c r="G446">
        <v>0</v>
      </c>
      <c r="H446" t="s">
        <v>155</v>
      </c>
      <c r="AL446">
        <v>0</v>
      </c>
      <c r="AM446">
        <v>0.3</v>
      </c>
      <c r="AN446">
        <v>0.3</v>
      </c>
      <c r="AO446">
        <v>0.4</v>
      </c>
      <c r="AP446" t="s">
        <v>268</v>
      </c>
      <c r="AQ446">
        <v>0.3</v>
      </c>
      <c r="AR446">
        <v>0.3</v>
      </c>
      <c r="AS446">
        <v>0.2</v>
      </c>
      <c r="AT446">
        <v>0.2</v>
      </c>
      <c r="AU446" t="s">
        <v>268</v>
      </c>
      <c r="AV446" t="s">
        <v>34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100</v>
      </c>
      <c r="BC446">
        <v>0</v>
      </c>
      <c r="BD446">
        <v>0</v>
      </c>
      <c r="BE446">
        <v>0</v>
      </c>
      <c r="BF446">
        <v>0</v>
      </c>
      <c r="BG446">
        <v>0</v>
      </c>
      <c r="BH446" t="s">
        <v>270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100</v>
      </c>
      <c r="BO446">
        <v>0</v>
      </c>
      <c r="BP446">
        <v>0</v>
      </c>
      <c r="BQ446">
        <v>0</v>
      </c>
      <c r="BR446">
        <v>0</v>
      </c>
      <c r="BS446">
        <v>0</v>
      </c>
      <c r="BT446" t="s">
        <v>271</v>
      </c>
      <c r="BU446">
        <v>100</v>
      </c>
      <c r="BV446">
        <v>0</v>
      </c>
      <c r="BW446" t="s">
        <v>268</v>
      </c>
      <c r="BX446" t="s">
        <v>272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100</v>
      </c>
      <c r="CE446">
        <v>0</v>
      </c>
      <c r="CF446">
        <v>0</v>
      </c>
      <c r="CG446">
        <v>0</v>
      </c>
      <c r="CH446">
        <v>0</v>
      </c>
      <c r="CI446">
        <v>0</v>
      </c>
      <c r="CJ446" t="s">
        <v>273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100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100</v>
      </c>
      <c r="CW446" t="s">
        <v>274</v>
      </c>
      <c r="CX446" t="s">
        <v>268</v>
      </c>
      <c r="CY446">
        <v>0</v>
      </c>
    </row>
    <row r="447" spans="5:103" x14ac:dyDescent="0.2">
      <c r="E447">
        <v>0</v>
      </c>
      <c r="F447" t="s">
        <v>155</v>
      </c>
      <c r="G447">
        <v>0</v>
      </c>
      <c r="H447" t="s">
        <v>155</v>
      </c>
      <c r="AL447">
        <v>0</v>
      </c>
      <c r="AM447">
        <v>0.3</v>
      </c>
      <c r="AN447">
        <v>0.3</v>
      </c>
      <c r="AO447">
        <v>0.4</v>
      </c>
      <c r="AP447" t="s">
        <v>268</v>
      </c>
      <c r="AQ447">
        <v>0.3</v>
      </c>
      <c r="AR447">
        <v>0.3</v>
      </c>
      <c r="AS447">
        <v>0.2</v>
      </c>
      <c r="AT447">
        <v>0.2</v>
      </c>
      <c r="AU447" t="s">
        <v>268</v>
      </c>
      <c r="AV447" t="s">
        <v>34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100</v>
      </c>
      <c r="BC447">
        <v>0</v>
      </c>
      <c r="BD447">
        <v>0</v>
      </c>
      <c r="BE447">
        <v>0</v>
      </c>
      <c r="BF447">
        <v>0</v>
      </c>
      <c r="BG447">
        <v>0</v>
      </c>
      <c r="BH447" t="s">
        <v>270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100</v>
      </c>
      <c r="BO447">
        <v>0</v>
      </c>
      <c r="BP447">
        <v>0</v>
      </c>
      <c r="BQ447">
        <v>0</v>
      </c>
      <c r="BR447">
        <v>0</v>
      </c>
      <c r="BS447">
        <v>0</v>
      </c>
      <c r="BT447" t="s">
        <v>271</v>
      </c>
      <c r="BU447">
        <v>100</v>
      </c>
      <c r="BV447">
        <v>0</v>
      </c>
      <c r="BW447" t="s">
        <v>268</v>
      </c>
      <c r="BX447" t="s">
        <v>272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100</v>
      </c>
      <c r="CE447">
        <v>0</v>
      </c>
      <c r="CF447">
        <v>0</v>
      </c>
      <c r="CG447">
        <v>0</v>
      </c>
      <c r="CH447">
        <v>0</v>
      </c>
      <c r="CI447">
        <v>0</v>
      </c>
      <c r="CJ447" t="s">
        <v>273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100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100</v>
      </c>
      <c r="CW447" t="s">
        <v>274</v>
      </c>
      <c r="CX447" t="s">
        <v>268</v>
      </c>
      <c r="CY447">
        <v>0</v>
      </c>
    </row>
    <row r="448" spans="5:103" x14ac:dyDescent="0.2">
      <c r="E448">
        <v>0</v>
      </c>
      <c r="F448" t="s">
        <v>155</v>
      </c>
      <c r="G448">
        <v>0</v>
      </c>
      <c r="H448" t="s">
        <v>155</v>
      </c>
      <c r="AL448">
        <v>0</v>
      </c>
      <c r="AM448">
        <v>0.3</v>
      </c>
      <c r="AN448">
        <v>0.3</v>
      </c>
      <c r="AO448">
        <v>0.4</v>
      </c>
      <c r="AP448" t="s">
        <v>268</v>
      </c>
      <c r="AQ448">
        <v>0.3</v>
      </c>
      <c r="AR448">
        <v>0.3</v>
      </c>
      <c r="AS448">
        <v>0.2</v>
      </c>
      <c r="AT448">
        <v>0.2</v>
      </c>
      <c r="AU448" t="s">
        <v>268</v>
      </c>
      <c r="AV448" t="s">
        <v>34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100</v>
      </c>
      <c r="BC448">
        <v>0</v>
      </c>
      <c r="BD448">
        <v>0</v>
      </c>
      <c r="BE448">
        <v>0</v>
      </c>
      <c r="BF448">
        <v>0</v>
      </c>
      <c r="BG448">
        <v>0</v>
      </c>
      <c r="BH448" t="s">
        <v>270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100</v>
      </c>
      <c r="BO448">
        <v>0</v>
      </c>
      <c r="BP448">
        <v>0</v>
      </c>
      <c r="BQ448">
        <v>0</v>
      </c>
      <c r="BR448">
        <v>0</v>
      </c>
      <c r="BS448">
        <v>0</v>
      </c>
      <c r="BT448" t="s">
        <v>271</v>
      </c>
      <c r="BU448">
        <v>100</v>
      </c>
      <c r="BV448">
        <v>0</v>
      </c>
      <c r="BW448" t="s">
        <v>268</v>
      </c>
      <c r="BX448" t="s">
        <v>272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100</v>
      </c>
      <c r="CE448">
        <v>0</v>
      </c>
      <c r="CF448">
        <v>0</v>
      </c>
      <c r="CG448">
        <v>0</v>
      </c>
      <c r="CH448">
        <v>0</v>
      </c>
      <c r="CI448">
        <v>0</v>
      </c>
      <c r="CJ448" t="s">
        <v>273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100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100</v>
      </c>
      <c r="CW448" t="s">
        <v>274</v>
      </c>
      <c r="CX448" t="s">
        <v>268</v>
      </c>
      <c r="CY448">
        <v>0</v>
      </c>
    </row>
    <row r="449" spans="5:103" x14ac:dyDescent="0.2">
      <c r="E449">
        <v>0</v>
      </c>
      <c r="F449" t="s">
        <v>155</v>
      </c>
      <c r="G449">
        <v>0</v>
      </c>
      <c r="H449" t="s">
        <v>155</v>
      </c>
      <c r="AL449">
        <v>0</v>
      </c>
      <c r="AM449">
        <v>0.3</v>
      </c>
      <c r="AN449">
        <v>0.3</v>
      </c>
      <c r="AO449">
        <v>0.4</v>
      </c>
      <c r="AP449" t="s">
        <v>268</v>
      </c>
      <c r="AQ449">
        <v>0.3</v>
      </c>
      <c r="AR449">
        <v>0.3</v>
      </c>
      <c r="AS449">
        <v>0.2</v>
      </c>
      <c r="AT449">
        <v>0.2</v>
      </c>
      <c r="AU449" t="s">
        <v>268</v>
      </c>
      <c r="AV449" t="s">
        <v>34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100</v>
      </c>
      <c r="BC449">
        <v>0</v>
      </c>
      <c r="BD449">
        <v>0</v>
      </c>
      <c r="BE449">
        <v>0</v>
      </c>
      <c r="BF449">
        <v>0</v>
      </c>
      <c r="BG449">
        <v>0</v>
      </c>
      <c r="BH449" t="s">
        <v>270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100</v>
      </c>
      <c r="BO449">
        <v>0</v>
      </c>
      <c r="BP449">
        <v>0</v>
      </c>
      <c r="BQ449">
        <v>0</v>
      </c>
      <c r="BR449">
        <v>0</v>
      </c>
      <c r="BS449">
        <v>0</v>
      </c>
      <c r="BT449" t="s">
        <v>271</v>
      </c>
      <c r="BU449">
        <v>100</v>
      </c>
      <c r="BV449">
        <v>0</v>
      </c>
      <c r="BW449" t="s">
        <v>268</v>
      </c>
      <c r="BX449" t="s">
        <v>272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100</v>
      </c>
      <c r="CE449">
        <v>0</v>
      </c>
      <c r="CF449">
        <v>0</v>
      </c>
      <c r="CG449">
        <v>0</v>
      </c>
      <c r="CH449">
        <v>0</v>
      </c>
      <c r="CI449">
        <v>0</v>
      </c>
      <c r="CJ449" t="s">
        <v>273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100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100</v>
      </c>
      <c r="CW449" t="s">
        <v>274</v>
      </c>
      <c r="CX449" t="s">
        <v>268</v>
      </c>
      <c r="CY449">
        <v>0</v>
      </c>
    </row>
    <row r="450" spans="5:103" x14ac:dyDescent="0.2">
      <c r="E450">
        <v>0</v>
      </c>
      <c r="F450" t="s">
        <v>155</v>
      </c>
      <c r="G450">
        <v>0</v>
      </c>
      <c r="H450" t="s">
        <v>155</v>
      </c>
      <c r="AL450">
        <v>0</v>
      </c>
      <c r="AM450">
        <v>0.3</v>
      </c>
      <c r="AN450">
        <v>0.3</v>
      </c>
      <c r="AO450">
        <v>0.4</v>
      </c>
      <c r="AP450" t="s">
        <v>268</v>
      </c>
      <c r="AQ450">
        <v>0.3</v>
      </c>
      <c r="AR450">
        <v>0.3</v>
      </c>
      <c r="AS450">
        <v>0.2</v>
      </c>
      <c r="AT450">
        <v>0.2</v>
      </c>
      <c r="AU450" t="s">
        <v>268</v>
      </c>
      <c r="AV450" t="s">
        <v>34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100</v>
      </c>
      <c r="BC450">
        <v>0</v>
      </c>
      <c r="BD450">
        <v>0</v>
      </c>
      <c r="BE450">
        <v>0</v>
      </c>
      <c r="BF450">
        <v>0</v>
      </c>
      <c r="BG450">
        <v>0</v>
      </c>
      <c r="BH450" t="s">
        <v>270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100</v>
      </c>
      <c r="BO450">
        <v>0</v>
      </c>
      <c r="BP450">
        <v>0</v>
      </c>
      <c r="BQ450">
        <v>0</v>
      </c>
      <c r="BR450">
        <v>0</v>
      </c>
      <c r="BS450">
        <v>0</v>
      </c>
      <c r="BT450" t="s">
        <v>271</v>
      </c>
      <c r="BU450">
        <v>100</v>
      </c>
      <c r="BV450">
        <v>0</v>
      </c>
      <c r="BW450" t="s">
        <v>268</v>
      </c>
      <c r="BX450" t="s">
        <v>272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100</v>
      </c>
      <c r="CE450">
        <v>0</v>
      </c>
      <c r="CF450">
        <v>0</v>
      </c>
      <c r="CG450">
        <v>0</v>
      </c>
      <c r="CH450">
        <v>0</v>
      </c>
      <c r="CI450">
        <v>0</v>
      </c>
      <c r="CJ450" t="s">
        <v>273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100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100</v>
      </c>
      <c r="CW450" t="s">
        <v>274</v>
      </c>
      <c r="CX450" t="s">
        <v>268</v>
      </c>
      <c r="CY450">
        <v>0</v>
      </c>
    </row>
    <row r="451" spans="5:103" x14ac:dyDescent="0.2">
      <c r="E451">
        <v>0</v>
      </c>
      <c r="F451" t="s">
        <v>155</v>
      </c>
      <c r="G451">
        <v>0</v>
      </c>
      <c r="H451" t="s">
        <v>155</v>
      </c>
      <c r="AL451">
        <v>0</v>
      </c>
      <c r="AM451">
        <v>0.3</v>
      </c>
      <c r="AN451">
        <v>0.3</v>
      </c>
      <c r="AO451">
        <v>0.4</v>
      </c>
      <c r="AP451" t="s">
        <v>268</v>
      </c>
      <c r="AQ451">
        <v>0.3</v>
      </c>
      <c r="AR451">
        <v>0.3</v>
      </c>
      <c r="AS451">
        <v>0.2</v>
      </c>
      <c r="AT451">
        <v>0.2</v>
      </c>
      <c r="AU451" t="s">
        <v>268</v>
      </c>
      <c r="AV451" t="s">
        <v>34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100</v>
      </c>
      <c r="BC451">
        <v>0</v>
      </c>
      <c r="BD451">
        <v>0</v>
      </c>
      <c r="BE451">
        <v>0</v>
      </c>
      <c r="BF451">
        <v>0</v>
      </c>
      <c r="BG451">
        <v>0</v>
      </c>
      <c r="BH451" t="s">
        <v>270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100</v>
      </c>
      <c r="BO451">
        <v>0</v>
      </c>
      <c r="BP451">
        <v>0</v>
      </c>
      <c r="BQ451">
        <v>0</v>
      </c>
      <c r="BR451">
        <v>0</v>
      </c>
      <c r="BS451">
        <v>0</v>
      </c>
      <c r="BT451" t="s">
        <v>271</v>
      </c>
      <c r="BU451">
        <v>100</v>
      </c>
      <c r="BV451">
        <v>0</v>
      </c>
      <c r="BW451" t="s">
        <v>268</v>
      </c>
      <c r="BX451" t="s">
        <v>272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100</v>
      </c>
      <c r="CE451">
        <v>0</v>
      </c>
      <c r="CF451">
        <v>0</v>
      </c>
      <c r="CG451">
        <v>0</v>
      </c>
      <c r="CH451">
        <v>0</v>
      </c>
      <c r="CI451">
        <v>0</v>
      </c>
      <c r="CJ451" t="s">
        <v>273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100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100</v>
      </c>
      <c r="CW451" t="s">
        <v>274</v>
      </c>
      <c r="CX451" t="s">
        <v>268</v>
      </c>
      <c r="CY451">
        <v>0</v>
      </c>
    </row>
    <row r="452" spans="5:103" x14ac:dyDescent="0.2">
      <c r="E452">
        <v>0</v>
      </c>
      <c r="F452" t="s">
        <v>155</v>
      </c>
      <c r="G452">
        <v>0</v>
      </c>
      <c r="H452" t="s">
        <v>155</v>
      </c>
      <c r="AL452">
        <v>0</v>
      </c>
      <c r="AM452">
        <v>0.3</v>
      </c>
      <c r="AN452">
        <v>0.3</v>
      </c>
      <c r="AO452">
        <v>0.4</v>
      </c>
      <c r="AP452" t="s">
        <v>268</v>
      </c>
      <c r="AQ452">
        <v>0.3</v>
      </c>
      <c r="AR452">
        <v>0.3</v>
      </c>
      <c r="AS452">
        <v>0.2</v>
      </c>
      <c r="AT452">
        <v>0.2</v>
      </c>
      <c r="AU452" t="s">
        <v>268</v>
      </c>
      <c r="AV452" t="s">
        <v>34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100</v>
      </c>
      <c r="BC452">
        <v>0</v>
      </c>
      <c r="BD452">
        <v>0</v>
      </c>
      <c r="BE452">
        <v>0</v>
      </c>
      <c r="BF452">
        <v>0</v>
      </c>
      <c r="BG452">
        <v>0</v>
      </c>
      <c r="BH452" t="s">
        <v>270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100</v>
      </c>
      <c r="BO452">
        <v>0</v>
      </c>
      <c r="BP452">
        <v>0</v>
      </c>
      <c r="BQ452">
        <v>0</v>
      </c>
      <c r="BR452">
        <v>0</v>
      </c>
      <c r="BS452">
        <v>0</v>
      </c>
      <c r="BT452" t="s">
        <v>271</v>
      </c>
      <c r="BU452">
        <v>100</v>
      </c>
      <c r="BV452">
        <v>0</v>
      </c>
      <c r="BW452" t="s">
        <v>268</v>
      </c>
      <c r="BX452" t="s">
        <v>272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100</v>
      </c>
      <c r="CE452">
        <v>0</v>
      </c>
      <c r="CF452">
        <v>0</v>
      </c>
      <c r="CG452">
        <v>0</v>
      </c>
      <c r="CH452">
        <v>0</v>
      </c>
      <c r="CI452">
        <v>0</v>
      </c>
      <c r="CJ452" t="s">
        <v>273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100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100</v>
      </c>
      <c r="CW452" t="s">
        <v>274</v>
      </c>
      <c r="CX452" t="s">
        <v>268</v>
      </c>
      <c r="CY452">
        <v>0</v>
      </c>
    </row>
    <row r="453" spans="5:103" x14ac:dyDescent="0.2">
      <c r="E453">
        <v>0</v>
      </c>
      <c r="F453" t="s">
        <v>155</v>
      </c>
      <c r="G453">
        <v>0</v>
      </c>
      <c r="H453" t="s">
        <v>155</v>
      </c>
      <c r="AL453">
        <v>0</v>
      </c>
      <c r="AM453">
        <v>0.3</v>
      </c>
      <c r="AN453">
        <v>0.3</v>
      </c>
      <c r="AO453">
        <v>0.4</v>
      </c>
      <c r="AP453" t="s">
        <v>268</v>
      </c>
      <c r="AQ453">
        <v>0.3</v>
      </c>
      <c r="AR453">
        <v>0.3</v>
      </c>
      <c r="AS453">
        <v>0.2</v>
      </c>
      <c r="AT453">
        <v>0.2</v>
      </c>
      <c r="AU453" t="s">
        <v>268</v>
      </c>
      <c r="AV453" t="s">
        <v>34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100</v>
      </c>
      <c r="BC453">
        <v>0</v>
      </c>
      <c r="BD453">
        <v>0</v>
      </c>
      <c r="BE453">
        <v>0</v>
      </c>
      <c r="BF453">
        <v>0</v>
      </c>
      <c r="BG453">
        <v>0</v>
      </c>
      <c r="BH453" t="s">
        <v>270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100</v>
      </c>
      <c r="BO453">
        <v>0</v>
      </c>
      <c r="BP453">
        <v>0</v>
      </c>
      <c r="BQ453">
        <v>0</v>
      </c>
      <c r="BR453">
        <v>0</v>
      </c>
      <c r="BS453">
        <v>0</v>
      </c>
      <c r="BT453" t="s">
        <v>271</v>
      </c>
      <c r="BU453">
        <v>100</v>
      </c>
      <c r="BV453">
        <v>0</v>
      </c>
      <c r="BW453" t="s">
        <v>268</v>
      </c>
      <c r="BX453" t="s">
        <v>272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100</v>
      </c>
      <c r="CE453">
        <v>0</v>
      </c>
      <c r="CF453">
        <v>0</v>
      </c>
      <c r="CG453">
        <v>0</v>
      </c>
      <c r="CH453">
        <v>0</v>
      </c>
      <c r="CI453">
        <v>0</v>
      </c>
      <c r="CJ453" t="s">
        <v>273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100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100</v>
      </c>
      <c r="CW453" t="s">
        <v>274</v>
      </c>
      <c r="CX453" t="s">
        <v>268</v>
      </c>
      <c r="CY453">
        <v>0</v>
      </c>
    </row>
    <row r="454" spans="5:103" x14ac:dyDescent="0.2">
      <c r="E454">
        <v>0</v>
      </c>
      <c r="F454" t="s">
        <v>155</v>
      </c>
      <c r="G454">
        <v>0</v>
      </c>
      <c r="H454" t="s">
        <v>155</v>
      </c>
      <c r="AL454">
        <v>0</v>
      </c>
      <c r="AM454">
        <v>0.3</v>
      </c>
      <c r="AN454">
        <v>0.3</v>
      </c>
      <c r="AO454">
        <v>0.4</v>
      </c>
      <c r="AP454" t="s">
        <v>268</v>
      </c>
      <c r="AQ454">
        <v>0.3</v>
      </c>
      <c r="AR454">
        <v>0.3</v>
      </c>
      <c r="AS454">
        <v>0.2</v>
      </c>
      <c r="AT454">
        <v>0.2</v>
      </c>
      <c r="AU454" t="s">
        <v>268</v>
      </c>
      <c r="AV454" t="s">
        <v>34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100</v>
      </c>
      <c r="BC454">
        <v>0</v>
      </c>
      <c r="BD454">
        <v>0</v>
      </c>
      <c r="BE454">
        <v>0</v>
      </c>
      <c r="BF454">
        <v>0</v>
      </c>
      <c r="BG454">
        <v>0</v>
      </c>
      <c r="BH454" t="s">
        <v>270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100</v>
      </c>
      <c r="BO454">
        <v>0</v>
      </c>
      <c r="BP454">
        <v>0</v>
      </c>
      <c r="BQ454">
        <v>0</v>
      </c>
      <c r="BR454">
        <v>0</v>
      </c>
      <c r="BS454">
        <v>0</v>
      </c>
      <c r="BT454" t="s">
        <v>271</v>
      </c>
      <c r="BU454">
        <v>100</v>
      </c>
      <c r="BV454">
        <v>0</v>
      </c>
      <c r="BW454" t="s">
        <v>268</v>
      </c>
      <c r="BX454" t="s">
        <v>272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100</v>
      </c>
      <c r="CE454">
        <v>0</v>
      </c>
      <c r="CF454">
        <v>0</v>
      </c>
      <c r="CG454">
        <v>0</v>
      </c>
      <c r="CH454">
        <v>0</v>
      </c>
      <c r="CI454">
        <v>0</v>
      </c>
      <c r="CJ454" t="s">
        <v>273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100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100</v>
      </c>
      <c r="CW454" t="s">
        <v>274</v>
      </c>
      <c r="CX454" t="s">
        <v>268</v>
      </c>
      <c r="CY454">
        <v>0</v>
      </c>
    </row>
    <row r="455" spans="5:103" x14ac:dyDescent="0.2">
      <c r="E455">
        <v>0</v>
      </c>
      <c r="F455" t="s">
        <v>155</v>
      </c>
      <c r="G455">
        <v>0</v>
      </c>
      <c r="H455" t="s">
        <v>155</v>
      </c>
      <c r="AL455">
        <v>0</v>
      </c>
      <c r="AM455">
        <v>0.3</v>
      </c>
      <c r="AN455">
        <v>0.3</v>
      </c>
      <c r="AO455">
        <v>0.4</v>
      </c>
      <c r="AP455" t="s">
        <v>268</v>
      </c>
      <c r="AQ455">
        <v>0.3</v>
      </c>
      <c r="AR455">
        <v>0.3</v>
      </c>
      <c r="AS455">
        <v>0.2</v>
      </c>
      <c r="AT455">
        <v>0.2</v>
      </c>
      <c r="AU455" t="s">
        <v>268</v>
      </c>
      <c r="AV455" t="s">
        <v>34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100</v>
      </c>
      <c r="BC455">
        <v>0</v>
      </c>
      <c r="BD455">
        <v>0</v>
      </c>
      <c r="BE455">
        <v>0</v>
      </c>
      <c r="BF455">
        <v>0</v>
      </c>
      <c r="BG455">
        <v>0</v>
      </c>
      <c r="BH455" t="s">
        <v>270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100</v>
      </c>
      <c r="BO455">
        <v>0</v>
      </c>
      <c r="BP455">
        <v>0</v>
      </c>
      <c r="BQ455">
        <v>0</v>
      </c>
      <c r="BR455">
        <v>0</v>
      </c>
      <c r="BS455">
        <v>0</v>
      </c>
      <c r="BT455" t="s">
        <v>271</v>
      </c>
      <c r="BU455">
        <v>100</v>
      </c>
      <c r="BV455">
        <v>0</v>
      </c>
      <c r="BW455" t="s">
        <v>268</v>
      </c>
      <c r="BX455" t="s">
        <v>272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100</v>
      </c>
      <c r="CE455">
        <v>0</v>
      </c>
      <c r="CF455">
        <v>0</v>
      </c>
      <c r="CG455">
        <v>0</v>
      </c>
      <c r="CH455">
        <v>0</v>
      </c>
      <c r="CI455">
        <v>0</v>
      </c>
      <c r="CJ455" t="s">
        <v>273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100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100</v>
      </c>
      <c r="CW455" t="s">
        <v>274</v>
      </c>
      <c r="CX455" t="s">
        <v>268</v>
      </c>
      <c r="CY455">
        <v>0</v>
      </c>
    </row>
    <row r="456" spans="5:103" x14ac:dyDescent="0.2">
      <c r="E456">
        <v>0</v>
      </c>
      <c r="F456" t="s">
        <v>155</v>
      </c>
      <c r="G456">
        <v>0</v>
      </c>
      <c r="H456" t="s">
        <v>155</v>
      </c>
      <c r="AL456">
        <v>0</v>
      </c>
      <c r="AM456">
        <v>0.3</v>
      </c>
      <c r="AN456">
        <v>0.3</v>
      </c>
      <c r="AO456">
        <v>0.4</v>
      </c>
      <c r="AP456" t="s">
        <v>268</v>
      </c>
      <c r="AQ456">
        <v>0.3</v>
      </c>
      <c r="AR456">
        <v>0.3</v>
      </c>
      <c r="AS456">
        <v>0.2</v>
      </c>
      <c r="AT456">
        <v>0.2</v>
      </c>
      <c r="AU456" t="s">
        <v>268</v>
      </c>
      <c r="AV456" t="s">
        <v>34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100</v>
      </c>
      <c r="BC456">
        <v>0</v>
      </c>
      <c r="BD456">
        <v>0</v>
      </c>
      <c r="BE456">
        <v>0</v>
      </c>
      <c r="BF456">
        <v>0</v>
      </c>
      <c r="BG456">
        <v>0</v>
      </c>
      <c r="BH456" t="s">
        <v>270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100</v>
      </c>
      <c r="BO456">
        <v>0</v>
      </c>
      <c r="BP456">
        <v>0</v>
      </c>
      <c r="BQ456">
        <v>0</v>
      </c>
      <c r="BR456">
        <v>0</v>
      </c>
      <c r="BS456">
        <v>0</v>
      </c>
      <c r="BT456" t="s">
        <v>271</v>
      </c>
      <c r="BU456">
        <v>100</v>
      </c>
      <c r="BV456">
        <v>0</v>
      </c>
      <c r="BW456" t="s">
        <v>268</v>
      </c>
      <c r="BX456" t="s">
        <v>272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100</v>
      </c>
      <c r="CE456">
        <v>0</v>
      </c>
      <c r="CF456">
        <v>0</v>
      </c>
      <c r="CG456">
        <v>0</v>
      </c>
      <c r="CH456">
        <v>0</v>
      </c>
      <c r="CI456">
        <v>0</v>
      </c>
      <c r="CJ456" t="s">
        <v>273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100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100</v>
      </c>
      <c r="CW456" t="s">
        <v>274</v>
      </c>
      <c r="CX456" t="s">
        <v>268</v>
      </c>
      <c r="CY456">
        <v>0</v>
      </c>
    </row>
    <row r="457" spans="5:103" x14ac:dyDescent="0.2">
      <c r="E457">
        <v>0</v>
      </c>
      <c r="F457" t="s">
        <v>155</v>
      </c>
      <c r="G457">
        <v>0</v>
      </c>
      <c r="H457" t="s">
        <v>155</v>
      </c>
      <c r="AL457">
        <v>0</v>
      </c>
      <c r="AM457">
        <v>0.3</v>
      </c>
      <c r="AN457">
        <v>0.3</v>
      </c>
      <c r="AO457">
        <v>0.4</v>
      </c>
      <c r="AP457" t="s">
        <v>268</v>
      </c>
      <c r="AQ457">
        <v>0.3</v>
      </c>
      <c r="AR457">
        <v>0.3</v>
      </c>
      <c r="AS457">
        <v>0.2</v>
      </c>
      <c r="AT457">
        <v>0.2</v>
      </c>
      <c r="AU457" t="s">
        <v>268</v>
      </c>
      <c r="AV457" t="s">
        <v>34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100</v>
      </c>
      <c r="BC457">
        <v>0</v>
      </c>
      <c r="BD457">
        <v>0</v>
      </c>
      <c r="BE457">
        <v>0</v>
      </c>
      <c r="BF457">
        <v>0</v>
      </c>
      <c r="BG457">
        <v>0</v>
      </c>
      <c r="BH457" t="s">
        <v>270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100</v>
      </c>
      <c r="BO457">
        <v>0</v>
      </c>
      <c r="BP457">
        <v>0</v>
      </c>
      <c r="BQ457">
        <v>0</v>
      </c>
      <c r="BR457">
        <v>0</v>
      </c>
      <c r="BS457">
        <v>0</v>
      </c>
      <c r="BT457" t="s">
        <v>271</v>
      </c>
      <c r="BU457">
        <v>100</v>
      </c>
      <c r="BV457">
        <v>0</v>
      </c>
      <c r="BW457" t="s">
        <v>268</v>
      </c>
      <c r="BX457" t="s">
        <v>272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100</v>
      </c>
      <c r="CE457">
        <v>0</v>
      </c>
      <c r="CF457">
        <v>0</v>
      </c>
      <c r="CG457">
        <v>0</v>
      </c>
      <c r="CH457">
        <v>0</v>
      </c>
      <c r="CI457">
        <v>0</v>
      </c>
      <c r="CJ457" t="s">
        <v>273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100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100</v>
      </c>
      <c r="CW457" t="s">
        <v>274</v>
      </c>
      <c r="CX457" t="s">
        <v>268</v>
      </c>
      <c r="CY457">
        <v>0</v>
      </c>
    </row>
    <row r="458" spans="5:103" x14ac:dyDescent="0.2">
      <c r="E458">
        <v>0</v>
      </c>
      <c r="F458" t="s">
        <v>155</v>
      </c>
      <c r="G458">
        <v>0</v>
      </c>
      <c r="H458" t="s">
        <v>155</v>
      </c>
      <c r="AL458">
        <v>0</v>
      </c>
      <c r="AM458">
        <v>0.3</v>
      </c>
      <c r="AN458">
        <v>0.3</v>
      </c>
      <c r="AO458">
        <v>0.4</v>
      </c>
      <c r="AP458" t="s">
        <v>268</v>
      </c>
      <c r="AQ458">
        <v>0.3</v>
      </c>
      <c r="AR458">
        <v>0.3</v>
      </c>
      <c r="AS458">
        <v>0.2</v>
      </c>
      <c r="AT458">
        <v>0.2</v>
      </c>
      <c r="AU458" t="s">
        <v>268</v>
      </c>
      <c r="AV458" t="s">
        <v>34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100</v>
      </c>
      <c r="BC458">
        <v>0</v>
      </c>
      <c r="BD458">
        <v>0</v>
      </c>
      <c r="BE458">
        <v>0</v>
      </c>
      <c r="BF458">
        <v>0</v>
      </c>
      <c r="BG458">
        <v>0</v>
      </c>
      <c r="BH458" t="s">
        <v>270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100</v>
      </c>
      <c r="BO458">
        <v>0</v>
      </c>
      <c r="BP458">
        <v>0</v>
      </c>
      <c r="BQ458">
        <v>0</v>
      </c>
      <c r="BR458">
        <v>0</v>
      </c>
      <c r="BS458">
        <v>0</v>
      </c>
      <c r="BT458" t="s">
        <v>271</v>
      </c>
      <c r="BU458">
        <v>100</v>
      </c>
      <c r="BV458">
        <v>0</v>
      </c>
      <c r="BW458" t="s">
        <v>268</v>
      </c>
      <c r="BX458" t="s">
        <v>272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100</v>
      </c>
      <c r="CE458">
        <v>0</v>
      </c>
      <c r="CF458">
        <v>0</v>
      </c>
      <c r="CG458">
        <v>0</v>
      </c>
      <c r="CH458">
        <v>0</v>
      </c>
      <c r="CI458">
        <v>0</v>
      </c>
      <c r="CJ458" t="s">
        <v>273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100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100</v>
      </c>
      <c r="CW458" t="s">
        <v>274</v>
      </c>
      <c r="CX458" t="s">
        <v>268</v>
      </c>
      <c r="CY458">
        <v>0</v>
      </c>
    </row>
    <row r="459" spans="5:103" x14ac:dyDescent="0.2">
      <c r="E459">
        <v>0</v>
      </c>
      <c r="F459" t="s">
        <v>155</v>
      </c>
      <c r="G459">
        <v>0</v>
      </c>
      <c r="H459" t="s">
        <v>155</v>
      </c>
      <c r="AL459">
        <v>0</v>
      </c>
      <c r="AM459">
        <v>0.3</v>
      </c>
      <c r="AN459">
        <v>0.3</v>
      </c>
      <c r="AO459">
        <v>0.4</v>
      </c>
      <c r="AP459" t="s">
        <v>268</v>
      </c>
      <c r="AQ459">
        <v>0.3</v>
      </c>
      <c r="AR459">
        <v>0.3</v>
      </c>
      <c r="AS459">
        <v>0.2</v>
      </c>
      <c r="AT459">
        <v>0.2</v>
      </c>
      <c r="AU459" t="s">
        <v>268</v>
      </c>
      <c r="AV459" t="s">
        <v>34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100</v>
      </c>
      <c r="BC459">
        <v>0</v>
      </c>
      <c r="BD459">
        <v>0</v>
      </c>
      <c r="BE459">
        <v>0</v>
      </c>
      <c r="BF459">
        <v>0</v>
      </c>
      <c r="BG459">
        <v>0</v>
      </c>
      <c r="BH459" t="s">
        <v>270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100</v>
      </c>
      <c r="BO459">
        <v>0</v>
      </c>
      <c r="BP459">
        <v>0</v>
      </c>
      <c r="BQ459">
        <v>0</v>
      </c>
      <c r="BR459">
        <v>0</v>
      </c>
      <c r="BS459">
        <v>0</v>
      </c>
      <c r="BT459" t="s">
        <v>271</v>
      </c>
      <c r="BU459">
        <v>100</v>
      </c>
      <c r="BV459">
        <v>0</v>
      </c>
      <c r="BW459" t="s">
        <v>268</v>
      </c>
      <c r="BX459" t="s">
        <v>272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100</v>
      </c>
      <c r="CE459">
        <v>0</v>
      </c>
      <c r="CF459">
        <v>0</v>
      </c>
      <c r="CG459">
        <v>0</v>
      </c>
      <c r="CH459">
        <v>0</v>
      </c>
      <c r="CI459">
        <v>0</v>
      </c>
      <c r="CJ459" t="s">
        <v>273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100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100</v>
      </c>
      <c r="CW459" t="s">
        <v>274</v>
      </c>
      <c r="CX459" t="s">
        <v>268</v>
      </c>
      <c r="CY459">
        <v>0</v>
      </c>
    </row>
    <row r="460" spans="5:103" x14ac:dyDescent="0.2">
      <c r="E460">
        <v>0</v>
      </c>
      <c r="F460" t="s">
        <v>155</v>
      </c>
      <c r="G460">
        <v>0</v>
      </c>
      <c r="H460" t="s">
        <v>155</v>
      </c>
      <c r="AL460">
        <v>0</v>
      </c>
      <c r="AM460">
        <v>0.3</v>
      </c>
      <c r="AN460">
        <v>0.3</v>
      </c>
      <c r="AO460">
        <v>0.4</v>
      </c>
      <c r="AP460" t="s">
        <v>268</v>
      </c>
      <c r="AQ460">
        <v>0.3</v>
      </c>
      <c r="AR460">
        <v>0.3</v>
      </c>
      <c r="AS460">
        <v>0.2</v>
      </c>
      <c r="AT460">
        <v>0.2</v>
      </c>
      <c r="AU460" t="s">
        <v>268</v>
      </c>
      <c r="AV460" t="s">
        <v>34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100</v>
      </c>
      <c r="BC460">
        <v>0</v>
      </c>
      <c r="BD460">
        <v>0</v>
      </c>
      <c r="BE460">
        <v>0</v>
      </c>
      <c r="BF460">
        <v>0</v>
      </c>
      <c r="BG460">
        <v>0</v>
      </c>
      <c r="BH460" t="s">
        <v>270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100</v>
      </c>
      <c r="BO460">
        <v>0</v>
      </c>
      <c r="BP460">
        <v>0</v>
      </c>
      <c r="BQ460">
        <v>0</v>
      </c>
      <c r="BR460">
        <v>0</v>
      </c>
      <c r="BS460">
        <v>0</v>
      </c>
      <c r="BT460" t="s">
        <v>271</v>
      </c>
      <c r="BU460">
        <v>100</v>
      </c>
      <c r="BV460">
        <v>0</v>
      </c>
      <c r="BW460" t="s">
        <v>268</v>
      </c>
      <c r="BX460" t="s">
        <v>272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100</v>
      </c>
      <c r="CE460">
        <v>0</v>
      </c>
      <c r="CF460">
        <v>0</v>
      </c>
      <c r="CG460">
        <v>0</v>
      </c>
      <c r="CH460">
        <v>0</v>
      </c>
      <c r="CI460">
        <v>0</v>
      </c>
      <c r="CJ460" t="s">
        <v>273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100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100</v>
      </c>
      <c r="CW460" t="s">
        <v>274</v>
      </c>
      <c r="CX460" t="s">
        <v>268</v>
      </c>
      <c r="CY460">
        <v>0</v>
      </c>
    </row>
    <row r="461" spans="5:103" x14ac:dyDescent="0.2">
      <c r="E461">
        <v>0</v>
      </c>
      <c r="F461" t="s">
        <v>155</v>
      </c>
      <c r="G461">
        <v>0</v>
      </c>
      <c r="H461" t="s">
        <v>155</v>
      </c>
      <c r="AL461">
        <v>0</v>
      </c>
      <c r="AM461">
        <v>0.3</v>
      </c>
      <c r="AN461">
        <v>0.3</v>
      </c>
      <c r="AO461">
        <v>0.4</v>
      </c>
      <c r="AP461" t="s">
        <v>268</v>
      </c>
      <c r="AQ461">
        <v>0.3</v>
      </c>
      <c r="AR461">
        <v>0.3</v>
      </c>
      <c r="AS461">
        <v>0.2</v>
      </c>
      <c r="AT461">
        <v>0.2</v>
      </c>
      <c r="AU461" t="s">
        <v>268</v>
      </c>
      <c r="AV461" t="s">
        <v>34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100</v>
      </c>
      <c r="BC461">
        <v>0</v>
      </c>
      <c r="BD461">
        <v>0</v>
      </c>
      <c r="BE461">
        <v>0</v>
      </c>
      <c r="BF461">
        <v>0</v>
      </c>
      <c r="BG461">
        <v>0</v>
      </c>
      <c r="BH461" t="s">
        <v>270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100</v>
      </c>
      <c r="BO461">
        <v>0</v>
      </c>
      <c r="BP461">
        <v>0</v>
      </c>
      <c r="BQ461">
        <v>0</v>
      </c>
      <c r="BR461">
        <v>0</v>
      </c>
      <c r="BS461">
        <v>0</v>
      </c>
      <c r="BT461" t="s">
        <v>271</v>
      </c>
      <c r="BU461">
        <v>100</v>
      </c>
      <c r="BV461">
        <v>0</v>
      </c>
      <c r="BW461" t="s">
        <v>268</v>
      </c>
      <c r="BX461" t="s">
        <v>272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100</v>
      </c>
      <c r="CE461">
        <v>0</v>
      </c>
      <c r="CF461">
        <v>0</v>
      </c>
      <c r="CG461">
        <v>0</v>
      </c>
      <c r="CH461">
        <v>0</v>
      </c>
      <c r="CI461">
        <v>0</v>
      </c>
      <c r="CJ461" t="s">
        <v>273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100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100</v>
      </c>
      <c r="CW461" t="s">
        <v>274</v>
      </c>
      <c r="CX461" t="s">
        <v>268</v>
      </c>
      <c r="CY461">
        <v>0</v>
      </c>
    </row>
    <row r="462" spans="5:103" x14ac:dyDescent="0.2">
      <c r="E462">
        <v>0</v>
      </c>
      <c r="F462" t="s">
        <v>155</v>
      </c>
      <c r="G462">
        <v>0</v>
      </c>
      <c r="H462" t="s">
        <v>155</v>
      </c>
      <c r="AL462">
        <v>0</v>
      </c>
      <c r="AM462">
        <v>0.3</v>
      </c>
      <c r="AN462">
        <v>0.3</v>
      </c>
      <c r="AO462">
        <v>0.4</v>
      </c>
      <c r="AP462" t="s">
        <v>268</v>
      </c>
      <c r="AQ462">
        <v>0.3</v>
      </c>
      <c r="AR462">
        <v>0.3</v>
      </c>
      <c r="AS462">
        <v>0.2</v>
      </c>
      <c r="AT462">
        <v>0.2</v>
      </c>
      <c r="AU462" t="s">
        <v>268</v>
      </c>
      <c r="AV462" t="s">
        <v>34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100</v>
      </c>
      <c r="BC462">
        <v>0</v>
      </c>
      <c r="BD462">
        <v>0</v>
      </c>
      <c r="BE462">
        <v>0</v>
      </c>
      <c r="BF462">
        <v>0</v>
      </c>
      <c r="BG462">
        <v>0</v>
      </c>
      <c r="BH462" t="s">
        <v>270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100</v>
      </c>
      <c r="BO462">
        <v>0</v>
      </c>
      <c r="BP462">
        <v>0</v>
      </c>
      <c r="BQ462">
        <v>0</v>
      </c>
      <c r="BR462">
        <v>0</v>
      </c>
      <c r="BS462">
        <v>0</v>
      </c>
      <c r="BT462" t="s">
        <v>271</v>
      </c>
      <c r="BU462">
        <v>100</v>
      </c>
      <c r="BV462">
        <v>0</v>
      </c>
      <c r="BW462" t="s">
        <v>268</v>
      </c>
      <c r="BX462" t="s">
        <v>272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100</v>
      </c>
      <c r="CE462">
        <v>0</v>
      </c>
      <c r="CF462">
        <v>0</v>
      </c>
      <c r="CG462">
        <v>0</v>
      </c>
      <c r="CH462">
        <v>0</v>
      </c>
      <c r="CI462">
        <v>0</v>
      </c>
      <c r="CJ462" t="s">
        <v>273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100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100</v>
      </c>
      <c r="CW462" t="s">
        <v>274</v>
      </c>
      <c r="CX462" t="s">
        <v>268</v>
      </c>
      <c r="CY462">
        <v>0</v>
      </c>
    </row>
    <row r="463" spans="5:103" x14ac:dyDescent="0.2">
      <c r="E463">
        <v>0</v>
      </c>
      <c r="F463" t="s">
        <v>155</v>
      </c>
      <c r="G463">
        <v>0</v>
      </c>
      <c r="H463" t="s">
        <v>155</v>
      </c>
      <c r="AL463">
        <v>0</v>
      </c>
      <c r="AM463">
        <v>0.3</v>
      </c>
      <c r="AN463">
        <v>0.3</v>
      </c>
      <c r="AO463">
        <v>0.4</v>
      </c>
      <c r="AP463" t="s">
        <v>268</v>
      </c>
      <c r="AQ463">
        <v>0.3</v>
      </c>
      <c r="AR463">
        <v>0.3</v>
      </c>
      <c r="AS463">
        <v>0.2</v>
      </c>
      <c r="AT463">
        <v>0.2</v>
      </c>
      <c r="AU463" t="s">
        <v>268</v>
      </c>
      <c r="AV463" t="s">
        <v>34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100</v>
      </c>
      <c r="BC463">
        <v>0</v>
      </c>
      <c r="BD463">
        <v>0</v>
      </c>
      <c r="BE463">
        <v>0</v>
      </c>
      <c r="BF463">
        <v>0</v>
      </c>
      <c r="BG463">
        <v>0</v>
      </c>
      <c r="BH463" t="s">
        <v>270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100</v>
      </c>
      <c r="BO463">
        <v>0</v>
      </c>
      <c r="BP463">
        <v>0</v>
      </c>
      <c r="BQ463">
        <v>0</v>
      </c>
      <c r="BR463">
        <v>0</v>
      </c>
      <c r="BS463">
        <v>0</v>
      </c>
      <c r="BT463" t="s">
        <v>271</v>
      </c>
      <c r="BU463">
        <v>100</v>
      </c>
      <c r="BV463">
        <v>0</v>
      </c>
      <c r="BW463" t="s">
        <v>268</v>
      </c>
      <c r="BX463" t="s">
        <v>272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100</v>
      </c>
      <c r="CE463">
        <v>0</v>
      </c>
      <c r="CF463">
        <v>0</v>
      </c>
      <c r="CG463">
        <v>0</v>
      </c>
      <c r="CH463">
        <v>0</v>
      </c>
      <c r="CI463">
        <v>0</v>
      </c>
      <c r="CJ463" t="s">
        <v>273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100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100</v>
      </c>
      <c r="CW463" t="s">
        <v>274</v>
      </c>
      <c r="CX463" t="s">
        <v>268</v>
      </c>
      <c r="CY463">
        <v>0</v>
      </c>
    </row>
    <row r="464" spans="5:103" x14ac:dyDescent="0.2">
      <c r="E464">
        <v>0</v>
      </c>
      <c r="F464" t="s">
        <v>155</v>
      </c>
      <c r="G464">
        <v>0</v>
      </c>
      <c r="H464" t="s">
        <v>155</v>
      </c>
      <c r="AL464">
        <v>0</v>
      </c>
      <c r="AM464">
        <v>0.3</v>
      </c>
      <c r="AN464">
        <v>0.3</v>
      </c>
      <c r="AO464">
        <v>0.4</v>
      </c>
      <c r="AP464" t="s">
        <v>268</v>
      </c>
      <c r="AQ464">
        <v>0.3</v>
      </c>
      <c r="AR464">
        <v>0.3</v>
      </c>
      <c r="AS464">
        <v>0.2</v>
      </c>
      <c r="AT464">
        <v>0.2</v>
      </c>
      <c r="AU464" t="s">
        <v>268</v>
      </c>
      <c r="AV464" t="s">
        <v>34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100</v>
      </c>
      <c r="BC464">
        <v>0</v>
      </c>
      <c r="BD464">
        <v>0</v>
      </c>
      <c r="BE464">
        <v>0</v>
      </c>
      <c r="BF464">
        <v>0</v>
      </c>
      <c r="BG464">
        <v>0</v>
      </c>
      <c r="BH464" t="s">
        <v>270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100</v>
      </c>
      <c r="BO464">
        <v>0</v>
      </c>
      <c r="BP464">
        <v>0</v>
      </c>
      <c r="BQ464">
        <v>0</v>
      </c>
      <c r="BR464">
        <v>0</v>
      </c>
      <c r="BS464">
        <v>0</v>
      </c>
      <c r="BT464" t="s">
        <v>271</v>
      </c>
      <c r="BU464">
        <v>100</v>
      </c>
      <c r="BV464">
        <v>0</v>
      </c>
      <c r="BW464" t="s">
        <v>268</v>
      </c>
      <c r="BX464" t="s">
        <v>272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100</v>
      </c>
      <c r="CE464">
        <v>0</v>
      </c>
      <c r="CF464">
        <v>0</v>
      </c>
      <c r="CG464">
        <v>0</v>
      </c>
      <c r="CH464">
        <v>0</v>
      </c>
      <c r="CI464">
        <v>0</v>
      </c>
      <c r="CJ464" t="s">
        <v>273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100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100</v>
      </c>
      <c r="CW464" t="s">
        <v>274</v>
      </c>
      <c r="CX464" t="s">
        <v>268</v>
      </c>
      <c r="CY464">
        <v>0</v>
      </c>
    </row>
    <row r="465" spans="5:103" x14ac:dyDescent="0.2">
      <c r="E465">
        <v>0</v>
      </c>
      <c r="F465" t="s">
        <v>155</v>
      </c>
      <c r="G465">
        <v>0</v>
      </c>
      <c r="H465" t="s">
        <v>155</v>
      </c>
      <c r="AL465">
        <v>0</v>
      </c>
      <c r="AM465">
        <v>0.3</v>
      </c>
      <c r="AN465">
        <v>0.3</v>
      </c>
      <c r="AO465">
        <v>0.4</v>
      </c>
      <c r="AP465" t="s">
        <v>268</v>
      </c>
      <c r="AQ465">
        <v>0.3</v>
      </c>
      <c r="AR465">
        <v>0.3</v>
      </c>
      <c r="AS465">
        <v>0.2</v>
      </c>
      <c r="AT465">
        <v>0.2</v>
      </c>
      <c r="AU465" t="s">
        <v>268</v>
      </c>
      <c r="AV465" t="s">
        <v>34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100</v>
      </c>
      <c r="BC465">
        <v>0</v>
      </c>
      <c r="BD465">
        <v>0</v>
      </c>
      <c r="BE465">
        <v>0</v>
      </c>
      <c r="BF465">
        <v>0</v>
      </c>
      <c r="BG465">
        <v>0</v>
      </c>
      <c r="BH465" t="s">
        <v>270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100</v>
      </c>
      <c r="BO465">
        <v>0</v>
      </c>
      <c r="BP465">
        <v>0</v>
      </c>
      <c r="BQ465">
        <v>0</v>
      </c>
      <c r="BR465">
        <v>0</v>
      </c>
      <c r="BS465">
        <v>0</v>
      </c>
      <c r="BT465" t="s">
        <v>271</v>
      </c>
      <c r="BU465">
        <v>100</v>
      </c>
      <c r="BV465">
        <v>0</v>
      </c>
      <c r="BW465" t="s">
        <v>268</v>
      </c>
      <c r="BX465" t="s">
        <v>272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100</v>
      </c>
      <c r="CE465">
        <v>0</v>
      </c>
      <c r="CF465">
        <v>0</v>
      </c>
      <c r="CG465">
        <v>0</v>
      </c>
      <c r="CH465">
        <v>0</v>
      </c>
      <c r="CI465">
        <v>0</v>
      </c>
      <c r="CJ465" t="s">
        <v>273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100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100</v>
      </c>
      <c r="CW465" t="s">
        <v>274</v>
      </c>
      <c r="CX465" t="s">
        <v>268</v>
      </c>
      <c r="CY465">
        <v>0</v>
      </c>
    </row>
    <row r="466" spans="5:103" x14ac:dyDescent="0.2">
      <c r="E466">
        <v>0</v>
      </c>
      <c r="F466" t="s">
        <v>155</v>
      </c>
      <c r="G466">
        <v>0</v>
      </c>
      <c r="H466" t="s">
        <v>155</v>
      </c>
      <c r="AL466">
        <v>0</v>
      </c>
      <c r="AM466">
        <v>0.3</v>
      </c>
      <c r="AN466">
        <v>0.3</v>
      </c>
      <c r="AO466">
        <v>0.4</v>
      </c>
      <c r="AP466" t="s">
        <v>268</v>
      </c>
      <c r="AQ466">
        <v>0.3</v>
      </c>
      <c r="AR466">
        <v>0.3</v>
      </c>
      <c r="AS466">
        <v>0.2</v>
      </c>
      <c r="AT466">
        <v>0.2</v>
      </c>
      <c r="AU466" t="s">
        <v>268</v>
      </c>
      <c r="AV466" t="s">
        <v>34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100</v>
      </c>
      <c r="BC466">
        <v>0</v>
      </c>
      <c r="BD466">
        <v>0</v>
      </c>
      <c r="BE466">
        <v>0</v>
      </c>
      <c r="BF466">
        <v>0</v>
      </c>
      <c r="BG466">
        <v>0</v>
      </c>
      <c r="BH466" t="s">
        <v>270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100</v>
      </c>
      <c r="BO466">
        <v>0</v>
      </c>
      <c r="BP466">
        <v>0</v>
      </c>
      <c r="BQ466">
        <v>0</v>
      </c>
      <c r="BR466">
        <v>0</v>
      </c>
      <c r="BS466">
        <v>0</v>
      </c>
      <c r="BT466" t="s">
        <v>271</v>
      </c>
      <c r="BU466">
        <v>100</v>
      </c>
      <c r="BV466">
        <v>0</v>
      </c>
      <c r="BW466" t="s">
        <v>268</v>
      </c>
      <c r="BX466" t="s">
        <v>272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100</v>
      </c>
      <c r="CE466">
        <v>0</v>
      </c>
      <c r="CF466">
        <v>0</v>
      </c>
      <c r="CG466">
        <v>0</v>
      </c>
      <c r="CH466">
        <v>0</v>
      </c>
      <c r="CI466">
        <v>0</v>
      </c>
      <c r="CJ466" t="s">
        <v>273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100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100</v>
      </c>
      <c r="CW466" t="s">
        <v>274</v>
      </c>
      <c r="CX466" t="s">
        <v>268</v>
      </c>
      <c r="CY466">
        <v>0</v>
      </c>
    </row>
    <row r="467" spans="5:103" x14ac:dyDescent="0.2">
      <c r="E467">
        <v>0</v>
      </c>
      <c r="F467" t="s">
        <v>155</v>
      </c>
      <c r="G467">
        <v>0</v>
      </c>
      <c r="H467" t="s">
        <v>155</v>
      </c>
      <c r="AL467">
        <v>0</v>
      </c>
      <c r="AM467">
        <v>0.3</v>
      </c>
      <c r="AN467">
        <v>0.3</v>
      </c>
      <c r="AO467">
        <v>0.4</v>
      </c>
      <c r="AP467" t="s">
        <v>268</v>
      </c>
      <c r="AQ467">
        <v>0.3</v>
      </c>
      <c r="AR467">
        <v>0.3</v>
      </c>
      <c r="AS467">
        <v>0.2</v>
      </c>
      <c r="AT467">
        <v>0.2</v>
      </c>
      <c r="AU467" t="s">
        <v>268</v>
      </c>
      <c r="AV467" t="s">
        <v>34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100</v>
      </c>
      <c r="BC467">
        <v>0</v>
      </c>
      <c r="BD467">
        <v>0</v>
      </c>
      <c r="BE467">
        <v>0</v>
      </c>
      <c r="BF467">
        <v>0</v>
      </c>
      <c r="BG467">
        <v>0</v>
      </c>
      <c r="BH467" t="s">
        <v>270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100</v>
      </c>
      <c r="BO467">
        <v>0</v>
      </c>
      <c r="BP467">
        <v>0</v>
      </c>
      <c r="BQ467">
        <v>0</v>
      </c>
      <c r="BR467">
        <v>0</v>
      </c>
      <c r="BS467">
        <v>0</v>
      </c>
      <c r="BT467" t="s">
        <v>271</v>
      </c>
      <c r="BU467">
        <v>100</v>
      </c>
      <c r="BV467">
        <v>0</v>
      </c>
      <c r="BW467" t="s">
        <v>268</v>
      </c>
      <c r="BX467" t="s">
        <v>272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100</v>
      </c>
      <c r="CE467">
        <v>0</v>
      </c>
      <c r="CF467">
        <v>0</v>
      </c>
      <c r="CG467">
        <v>0</v>
      </c>
      <c r="CH467">
        <v>0</v>
      </c>
      <c r="CI467">
        <v>0</v>
      </c>
      <c r="CJ467" t="s">
        <v>273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100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100</v>
      </c>
      <c r="CW467" t="s">
        <v>274</v>
      </c>
      <c r="CX467" t="s">
        <v>268</v>
      </c>
      <c r="CY467">
        <v>0</v>
      </c>
    </row>
    <row r="468" spans="5:103" x14ac:dyDescent="0.2">
      <c r="E468">
        <v>0</v>
      </c>
      <c r="F468" t="s">
        <v>155</v>
      </c>
      <c r="G468">
        <v>0</v>
      </c>
      <c r="H468" t="s">
        <v>155</v>
      </c>
      <c r="AL468">
        <v>0</v>
      </c>
      <c r="AM468">
        <v>0.3</v>
      </c>
      <c r="AN468">
        <v>0.3</v>
      </c>
      <c r="AO468">
        <v>0.4</v>
      </c>
      <c r="AP468" t="s">
        <v>268</v>
      </c>
      <c r="AQ468">
        <v>0.3</v>
      </c>
      <c r="AR468">
        <v>0.3</v>
      </c>
      <c r="AS468">
        <v>0.2</v>
      </c>
      <c r="AT468">
        <v>0.2</v>
      </c>
      <c r="AU468" t="s">
        <v>268</v>
      </c>
      <c r="AV468" t="s">
        <v>34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100</v>
      </c>
      <c r="BC468">
        <v>0</v>
      </c>
      <c r="BD468">
        <v>0</v>
      </c>
      <c r="BE468">
        <v>0</v>
      </c>
      <c r="BF468">
        <v>0</v>
      </c>
      <c r="BG468">
        <v>0</v>
      </c>
      <c r="BH468" t="s">
        <v>270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100</v>
      </c>
      <c r="BO468">
        <v>0</v>
      </c>
      <c r="BP468">
        <v>0</v>
      </c>
      <c r="BQ468">
        <v>0</v>
      </c>
      <c r="BR468">
        <v>0</v>
      </c>
      <c r="BS468">
        <v>0</v>
      </c>
      <c r="BT468" t="s">
        <v>271</v>
      </c>
      <c r="BU468">
        <v>100</v>
      </c>
      <c r="BV468">
        <v>0</v>
      </c>
      <c r="BW468" t="s">
        <v>268</v>
      </c>
      <c r="BX468" t="s">
        <v>272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100</v>
      </c>
      <c r="CE468">
        <v>0</v>
      </c>
      <c r="CF468">
        <v>0</v>
      </c>
      <c r="CG468">
        <v>0</v>
      </c>
      <c r="CH468">
        <v>0</v>
      </c>
      <c r="CI468">
        <v>0</v>
      </c>
      <c r="CJ468" t="s">
        <v>273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100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100</v>
      </c>
      <c r="CW468" t="s">
        <v>274</v>
      </c>
      <c r="CX468" t="s">
        <v>268</v>
      </c>
      <c r="CY468">
        <v>0</v>
      </c>
    </row>
    <row r="469" spans="5:103" x14ac:dyDescent="0.2">
      <c r="E469">
        <v>0</v>
      </c>
      <c r="F469" t="s">
        <v>155</v>
      </c>
      <c r="G469">
        <v>0</v>
      </c>
      <c r="H469" t="s">
        <v>155</v>
      </c>
      <c r="AL469">
        <v>0</v>
      </c>
      <c r="AM469">
        <v>0.3</v>
      </c>
      <c r="AN469">
        <v>0.3</v>
      </c>
      <c r="AO469">
        <v>0.4</v>
      </c>
      <c r="AP469" t="s">
        <v>268</v>
      </c>
      <c r="AQ469">
        <v>0.3</v>
      </c>
      <c r="AR469">
        <v>0.3</v>
      </c>
      <c r="AS469">
        <v>0.2</v>
      </c>
      <c r="AT469">
        <v>0.2</v>
      </c>
      <c r="AU469" t="s">
        <v>268</v>
      </c>
      <c r="AV469" t="s">
        <v>34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100</v>
      </c>
      <c r="BC469">
        <v>0</v>
      </c>
      <c r="BD469">
        <v>0</v>
      </c>
      <c r="BE469">
        <v>0</v>
      </c>
      <c r="BF469">
        <v>0</v>
      </c>
      <c r="BG469">
        <v>0</v>
      </c>
      <c r="BH469" t="s">
        <v>270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100</v>
      </c>
      <c r="BO469">
        <v>0</v>
      </c>
      <c r="BP469">
        <v>0</v>
      </c>
      <c r="BQ469">
        <v>0</v>
      </c>
      <c r="BR469">
        <v>0</v>
      </c>
      <c r="BS469">
        <v>0</v>
      </c>
      <c r="BT469" t="s">
        <v>271</v>
      </c>
      <c r="BU469">
        <v>100</v>
      </c>
      <c r="BV469">
        <v>0</v>
      </c>
      <c r="BW469" t="s">
        <v>268</v>
      </c>
      <c r="BX469" t="s">
        <v>272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100</v>
      </c>
      <c r="CE469">
        <v>0</v>
      </c>
      <c r="CF469">
        <v>0</v>
      </c>
      <c r="CG469">
        <v>0</v>
      </c>
      <c r="CH469">
        <v>0</v>
      </c>
      <c r="CI469">
        <v>0</v>
      </c>
      <c r="CJ469" t="s">
        <v>273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100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100</v>
      </c>
      <c r="CW469" t="s">
        <v>274</v>
      </c>
      <c r="CX469" t="s">
        <v>268</v>
      </c>
      <c r="CY469">
        <v>0</v>
      </c>
    </row>
    <row r="470" spans="5:103" x14ac:dyDescent="0.2">
      <c r="E470">
        <v>0</v>
      </c>
      <c r="F470" t="s">
        <v>155</v>
      </c>
      <c r="G470">
        <v>0</v>
      </c>
      <c r="H470" t="s">
        <v>155</v>
      </c>
      <c r="AL470">
        <v>0</v>
      </c>
      <c r="AM470">
        <v>0.3</v>
      </c>
      <c r="AN470">
        <v>0.3</v>
      </c>
      <c r="AO470">
        <v>0.4</v>
      </c>
      <c r="AP470" t="s">
        <v>268</v>
      </c>
      <c r="AQ470">
        <v>0.3</v>
      </c>
      <c r="AR470">
        <v>0.3</v>
      </c>
      <c r="AS470">
        <v>0.2</v>
      </c>
      <c r="AT470">
        <v>0.2</v>
      </c>
      <c r="AU470" t="s">
        <v>268</v>
      </c>
      <c r="AV470" t="s">
        <v>34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100</v>
      </c>
      <c r="BC470">
        <v>0</v>
      </c>
      <c r="BD470">
        <v>0</v>
      </c>
      <c r="BE470">
        <v>0</v>
      </c>
      <c r="BF470">
        <v>0</v>
      </c>
      <c r="BG470">
        <v>0</v>
      </c>
      <c r="BH470" t="s">
        <v>270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100</v>
      </c>
      <c r="BO470">
        <v>0</v>
      </c>
      <c r="BP470">
        <v>0</v>
      </c>
      <c r="BQ470">
        <v>0</v>
      </c>
      <c r="BR470">
        <v>0</v>
      </c>
      <c r="BS470">
        <v>0</v>
      </c>
      <c r="BT470" t="s">
        <v>271</v>
      </c>
      <c r="BU470">
        <v>100</v>
      </c>
      <c r="BV470">
        <v>0</v>
      </c>
      <c r="BW470" t="s">
        <v>268</v>
      </c>
      <c r="BX470" t="s">
        <v>272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100</v>
      </c>
      <c r="CE470">
        <v>0</v>
      </c>
      <c r="CF470">
        <v>0</v>
      </c>
      <c r="CG470">
        <v>0</v>
      </c>
      <c r="CH470">
        <v>0</v>
      </c>
      <c r="CI470">
        <v>0</v>
      </c>
      <c r="CJ470" t="s">
        <v>273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100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100</v>
      </c>
      <c r="CW470" t="s">
        <v>274</v>
      </c>
      <c r="CX470" t="s">
        <v>268</v>
      </c>
      <c r="CY470">
        <v>0</v>
      </c>
    </row>
    <row r="471" spans="5:103" x14ac:dyDescent="0.2">
      <c r="E471">
        <v>0</v>
      </c>
      <c r="F471" t="s">
        <v>155</v>
      </c>
      <c r="G471">
        <v>0</v>
      </c>
      <c r="H471" t="s">
        <v>155</v>
      </c>
      <c r="AL471">
        <v>0</v>
      </c>
      <c r="AM471">
        <v>0.3</v>
      </c>
      <c r="AN471">
        <v>0.3</v>
      </c>
      <c r="AO471">
        <v>0.4</v>
      </c>
      <c r="AP471" t="s">
        <v>268</v>
      </c>
      <c r="AQ471">
        <v>0.3</v>
      </c>
      <c r="AR471">
        <v>0.3</v>
      </c>
      <c r="AS471">
        <v>0.2</v>
      </c>
      <c r="AT471">
        <v>0.2</v>
      </c>
      <c r="AU471" t="s">
        <v>268</v>
      </c>
      <c r="AV471" t="s">
        <v>34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100</v>
      </c>
      <c r="BC471">
        <v>0</v>
      </c>
      <c r="BD471">
        <v>0</v>
      </c>
      <c r="BE471">
        <v>0</v>
      </c>
      <c r="BF471">
        <v>0</v>
      </c>
      <c r="BG471">
        <v>0</v>
      </c>
      <c r="BH471" t="s">
        <v>270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100</v>
      </c>
      <c r="BO471">
        <v>0</v>
      </c>
      <c r="BP471">
        <v>0</v>
      </c>
      <c r="BQ471">
        <v>0</v>
      </c>
      <c r="BR471">
        <v>0</v>
      </c>
      <c r="BS471">
        <v>0</v>
      </c>
      <c r="BT471" t="s">
        <v>271</v>
      </c>
      <c r="BU471">
        <v>100</v>
      </c>
      <c r="BV471">
        <v>0</v>
      </c>
      <c r="BW471" t="s">
        <v>268</v>
      </c>
      <c r="BX471" t="s">
        <v>272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100</v>
      </c>
      <c r="CE471">
        <v>0</v>
      </c>
      <c r="CF471">
        <v>0</v>
      </c>
      <c r="CG471">
        <v>0</v>
      </c>
      <c r="CH471">
        <v>0</v>
      </c>
      <c r="CI471">
        <v>0</v>
      </c>
      <c r="CJ471" t="s">
        <v>273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100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100</v>
      </c>
      <c r="CW471" t="s">
        <v>274</v>
      </c>
      <c r="CX471" t="s">
        <v>268</v>
      </c>
      <c r="CY471">
        <v>0</v>
      </c>
    </row>
    <row r="472" spans="5:103" x14ac:dyDescent="0.2">
      <c r="E472">
        <v>0</v>
      </c>
      <c r="F472" t="s">
        <v>155</v>
      </c>
      <c r="G472">
        <v>0</v>
      </c>
      <c r="H472" t="s">
        <v>155</v>
      </c>
      <c r="AL472">
        <v>0</v>
      </c>
      <c r="AM472">
        <v>0.3</v>
      </c>
      <c r="AN472">
        <v>0.3</v>
      </c>
      <c r="AO472">
        <v>0.4</v>
      </c>
      <c r="AP472" t="s">
        <v>268</v>
      </c>
      <c r="AQ472">
        <v>0.3</v>
      </c>
      <c r="AR472">
        <v>0.3</v>
      </c>
      <c r="AS472">
        <v>0.2</v>
      </c>
      <c r="AT472">
        <v>0.2</v>
      </c>
      <c r="AU472" t="s">
        <v>268</v>
      </c>
      <c r="AV472" t="s">
        <v>34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100</v>
      </c>
      <c r="BC472">
        <v>0</v>
      </c>
      <c r="BD472">
        <v>0</v>
      </c>
      <c r="BE472">
        <v>0</v>
      </c>
      <c r="BF472">
        <v>0</v>
      </c>
      <c r="BG472">
        <v>0</v>
      </c>
      <c r="BH472" t="s">
        <v>270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100</v>
      </c>
      <c r="BO472">
        <v>0</v>
      </c>
      <c r="BP472">
        <v>0</v>
      </c>
      <c r="BQ472">
        <v>0</v>
      </c>
      <c r="BR472">
        <v>0</v>
      </c>
      <c r="BS472">
        <v>0</v>
      </c>
      <c r="BT472" t="s">
        <v>271</v>
      </c>
      <c r="BU472">
        <v>100</v>
      </c>
      <c r="BV472">
        <v>0</v>
      </c>
      <c r="BW472" t="s">
        <v>268</v>
      </c>
      <c r="BX472" t="s">
        <v>272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100</v>
      </c>
      <c r="CE472">
        <v>0</v>
      </c>
      <c r="CF472">
        <v>0</v>
      </c>
      <c r="CG472">
        <v>0</v>
      </c>
      <c r="CH472">
        <v>0</v>
      </c>
      <c r="CI472">
        <v>0</v>
      </c>
      <c r="CJ472" t="s">
        <v>273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100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100</v>
      </c>
      <c r="CW472" t="s">
        <v>274</v>
      </c>
      <c r="CX472" t="s">
        <v>268</v>
      </c>
      <c r="CY472">
        <v>0</v>
      </c>
    </row>
    <row r="473" spans="5:103" x14ac:dyDescent="0.2">
      <c r="E473">
        <v>0</v>
      </c>
      <c r="F473" t="s">
        <v>155</v>
      </c>
      <c r="G473">
        <v>0</v>
      </c>
      <c r="H473" t="s">
        <v>155</v>
      </c>
      <c r="AL473">
        <v>0</v>
      </c>
      <c r="AM473">
        <v>0.3</v>
      </c>
      <c r="AN473">
        <v>0.3</v>
      </c>
      <c r="AO473">
        <v>0.4</v>
      </c>
      <c r="AP473" t="s">
        <v>268</v>
      </c>
      <c r="AQ473">
        <v>0.3</v>
      </c>
      <c r="AR473">
        <v>0.3</v>
      </c>
      <c r="AS473">
        <v>0.2</v>
      </c>
      <c r="AT473">
        <v>0.2</v>
      </c>
      <c r="AU473" t="s">
        <v>268</v>
      </c>
      <c r="AV473" t="s">
        <v>34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100</v>
      </c>
      <c r="BC473">
        <v>0</v>
      </c>
      <c r="BD473">
        <v>0</v>
      </c>
      <c r="BE473">
        <v>0</v>
      </c>
      <c r="BF473">
        <v>0</v>
      </c>
      <c r="BG473">
        <v>0</v>
      </c>
      <c r="BH473" t="s">
        <v>270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100</v>
      </c>
      <c r="BO473">
        <v>0</v>
      </c>
      <c r="BP473">
        <v>0</v>
      </c>
      <c r="BQ473">
        <v>0</v>
      </c>
      <c r="BR473">
        <v>0</v>
      </c>
      <c r="BS473">
        <v>0</v>
      </c>
      <c r="BT473" t="s">
        <v>271</v>
      </c>
      <c r="BU473">
        <v>100</v>
      </c>
      <c r="BV473">
        <v>0</v>
      </c>
      <c r="BW473" t="s">
        <v>268</v>
      </c>
      <c r="BX473" t="s">
        <v>272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100</v>
      </c>
      <c r="CE473">
        <v>0</v>
      </c>
      <c r="CF473">
        <v>0</v>
      </c>
      <c r="CG473">
        <v>0</v>
      </c>
      <c r="CH473">
        <v>0</v>
      </c>
      <c r="CI473">
        <v>0</v>
      </c>
      <c r="CJ473" t="s">
        <v>273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100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100</v>
      </c>
      <c r="CW473" t="s">
        <v>274</v>
      </c>
      <c r="CX473" t="s">
        <v>268</v>
      </c>
      <c r="CY473">
        <v>0</v>
      </c>
    </row>
    <row r="474" spans="5:103" x14ac:dyDescent="0.2">
      <c r="E474">
        <v>0</v>
      </c>
      <c r="F474" t="s">
        <v>155</v>
      </c>
      <c r="G474">
        <v>0</v>
      </c>
      <c r="H474" t="s">
        <v>155</v>
      </c>
      <c r="AL474">
        <v>0</v>
      </c>
      <c r="AM474">
        <v>0.3</v>
      </c>
      <c r="AN474">
        <v>0.3</v>
      </c>
      <c r="AO474">
        <v>0.4</v>
      </c>
      <c r="AP474" t="s">
        <v>268</v>
      </c>
      <c r="AQ474">
        <v>0.3</v>
      </c>
      <c r="AR474">
        <v>0.3</v>
      </c>
      <c r="AS474">
        <v>0.2</v>
      </c>
      <c r="AT474">
        <v>0.2</v>
      </c>
      <c r="AU474" t="s">
        <v>268</v>
      </c>
      <c r="AV474" t="s">
        <v>34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100</v>
      </c>
      <c r="BC474">
        <v>0</v>
      </c>
      <c r="BD474">
        <v>0</v>
      </c>
      <c r="BE474">
        <v>0</v>
      </c>
      <c r="BF474">
        <v>0</v>
      </c>
      <c r="BG474">
        <v>0</v>
      </c>
      <c r="BH474" t="s">
        <v>270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100</v>
      </c>
      <c r="BO474">
        <v>0</v>
      </c>
      <c r="BP474">
        <v>0</v>
      </c>
      <c r="BQ474">
        <v>0</v>
      </c>
      <c r="BR474">
        <v>0</v>
      </c>
      <c r="BS474">
        <v>0</v>
      </c>
      <c r="BT474" t="s">
        <v>271</v>
      </c>
      <c r="BU474">
        <v>100</v>
      </c>
      <c r="BV474">
        <v>0</v>
      </c>
      <c r="BW474" t="s">
        <v>268</v>
      </c>
      <c r="BX474" t="s">
        <v>272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100</v>
      </c>
      <c r="CE474">
        <v>0</v>
      </c>
      <c r="CF474">
        <v>0</v>
      </c>
      <c r="CG474">
        <v>0</v>
      </c>
      <c r="CH474">
        <v>0</v>
      </c>
      <c r="CI474">
        <v>0</v>
      </c>
      <c r="CJ474" t="s">
        <v>273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100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100</v>
      </c>
      <c r="CW474" t="s">
        <v>274</v>
      </c>
      <c r="CX474" t="s">
        <v>268</v>
      </c>
      <c r="CY474">
        <v>0</v>
      </c>
    </row>
    <row r="475" spans="5:103" x14ac:dyDescent="0.2">
      <c r="E475">
        <v>0</v>
      </c>
      <c r="F475" t="s">
        <v>155</v>
      </c>
      <c r="G475">
        <v>0</v>
      </c>
      <c r="H475" t="s">
        <v>155</v>
      </c>
      <c r="AL475">
        <v>0</v>
      </c>
      <c r="AM475">
        <v>0.3</v>
      </c>
      <c r="AN475">
        <v>0.3</v>
      </c>
      <c r="AO475">
        <v>0.4</v>
      </c>
      <c r="AP475" t="s">
        <v>268</v>
      </c>
      <c r="AQ475">
        <v>0.3</v>
      </c>
      <c r="AR475">
        <v>0.3</v>
      </c>
      <c r="AS475">
        <v>0.2</v>
      </c>
      <c r="AT475">
        <v>0.2</v>
      </c>
      <c r="AU475" t="s">
        <v>268</v>
      </c>
      <c r="AV475" t="s">
        <v>34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100</v>
      </c>
      <c r="BC475">
        <v>0</v>
      </c>
      <c r="BD475">
        <v>0</v>
      </c>
      <c r="BE475">
        <v>0</v>
      </c>
      <c r="BF475">
        <v>0</v>
      </c>
      <c r="BG475">
        <v>0</v>
      </c>
      <c r="BH475" t="s">
        <v>270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100</v>
      </c>
      <c r="BO475">
        <v>0</v>
      </c>
      <c r="BP475">
        <v>0</v>
      </c>
      <c r="BQ475">
        <v>0</v>
      </c>
      <c r="BR475">
        <v>0</v>
      </c>
      <c r="BS475">
        <v>0</v>
      </c>
      <c r="BT475" t="s">
        <v>271</v>
      </c>
      <c r="BU475">
        <v>100</v>
      </c>
      <c r="BV475">
        <v>0</v>
      </c>
      <c r="BW475" t="s">
        <v>268</v>
      </c>
      <c r="BX475" t="s">
        <v>272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100</v>
      </c>
      <c r="CE475">
        <v>0</v>
      </c>
      <c r="CF475">
        <v>0</v>
      </c>
      <c r="CG475">
        <v>0</v>
      </c>
      <c r="CH475">
        <v>0</v>
      </c>
      <c r="CI475">
        <v>0</v>
      </c>
      <c r="CJ475" t="s">
        <v>273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100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100</v>
      </c>
      <c r="CW475" t="s">
        <v>274</v>
      </c>
      <c r="CX475" t="s">
        <v>268</v>
      </c>
      <c r="CY475">
        <v>0</v>
      </c>
    </row>
    <row r="476" spans="5:103" x14ac:dyDescent="0.2">
      <c r="E476">
        <v>0</v>
      </c>
      <c r="F476" t="s">
        <v>155</v>
      </c>
      <c r="G476">
        <v>0</v>
      </c>
      <c r="H476" t="s">
        <v>155</v>
      </c>
      <c r="AL476">
        <v>0</v>
      </c>
      <c r="AM476">
        <v>0.3</v>
      </c>
      <c r="AN476">
        <v>0.3</v>
      </c>
      <c r="AO476">
        <v>0.4</v>
      </c>
      <c r="AP476" t="s">
        <v>268</v>
      </c>
      <c r="AQ476">
        <v>0.3</v>
      </c>
      <c r="AR476">
        <v>0.3</v>
      </c>
      <c r="AS476">
        <v>0.2</v>
      </c>
      <c r="AT476">
        <v>0.2</v>
      </c>
      <c r="AU476" t="s">
        <v>268</v>
      </c>
      <c r="AV476" t="s">
        <v>34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100</v>
      </c>
      <c r="BC476">
        <v>0</v>
      </c>
      <c r="BD476">
        <v>0</v>
      </c>
      <c r="BE476">
        <v>0</v>
      </c>
      <c r="BF476">
        <v>0</v>
      </c>
      <c r="BG476">
        <v>0</v>
      </c>
      <c r="BH476" t="s">
        <v>270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100</v>
      </c>
      <c r="BO476">
        <v>0</v>
      </c>
      <c r="BP476">
        <v>0</v>
      </c>
      <c r="BQ476">
        <v>0</v>
      </c>
      <c r="BR476">
        <v>0</v>
      </c>
      <c r="BS476">
        <v>0</v>
      </c>
      <c r="BT476" t="s">
        <v>271</v>
      </c>
      <c r="BU476">
        <v>100</v>
      </c>
      <c r="BV476">
        <v>0</v>
      </c>
      <c r="BW476" t="s">
        <v>268</v>
      </c>
      <c r="BX476" t="s">
        <v>272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100</v>
      </c>
      <c r="CE476">
        <v>0</v>
      </c>
      <c r="CF476">
        <v>0</v>
      </c>
      <c r="CG476">
        <v>0</v>
      </c>
      <c r="CH476">
        <v>0</v>
      </c>
      <c r="CI476">
        <v>0</v>
      </c>
      <c r="CJ476" t="s">
        <v>273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100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100</v>
      </c>
      <c r="CW476" t="s">
        <v>274</v>
      </c>
      <c r="CX476" t="s">
        <v>268</v>
      </c>
      <c r="CY476">
        <v>0</v>
      </c>
    </row>
    <row r="477" spans="5:103" x14ac:dyDescent="0.2">
      <c r="E477">
        <v>0</v>
      </c>
      <c r="F477" t="s">
        <v>155</v>
      </c>
      <c r="G477">
        <v>0</v>
      </c>
      <c r="H477" t="s">
        <v>155</v>
      </c>
      <c r="AL477">
        <v>0</v>
      </c>
      <c r="AM477">
        <v>0.3</v>
      </c>
      <c r="AN477">
        <v>0.3</v>
      </c>
      <c r="AO477">
        <v>0.4</v>
      </c>
      <c r="AP477" t="s">
        <v>268</v>
      </c>
      <c r="AQ477">
        <v>0.3</v>
      </c>
      <c r="AR477">
        <v>0.3</v>
      </c>
      <c r="AS477">
        <v>0.2</v>
      </c>
      <c r="AT477">
        <v>0.2</v>
      </c>
      <c r="AU477" t="s">
        <v>268</v>
      </c>
      <c r="AV477" t="s">
        <v>34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100</v>
      </c>
      <c r="BC477">
        <v>0</v>
      </c>
      <c r="BD477">
        <v>0</v>
      </c>
      <c r="BE477">
        <v>0</v>
      </c>
      <c r="BF477">
        <v>0</v>
      </c>
      <c r="BG477">
        <v>0</v>
      </c>
      <c r="BH477" t="s">
        <v>270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100</v>
      </c>
      <c r="BO477">
        <v>0</v>
      </c>
      <c r="BP477">
        <v>0</v>
      </c>
      <c r="BQ477">
        <v>0</v>
      </c>
      <c r="BR477">
        <v>0</v>
      </c>
      <c r="BS477">
        <v>0</v>
      </c>
      <c r="BT477" t="s">
        <v>271</v>
      </c>
      <c r="BU477">
        <v>100</v>
      </c>
      <c r="BV477">
        <v>0</v>
      </c>
      <c r="BW477" t="s">
        <v>268</v>
      </c>
      <c r="BX477" t="s">
        <v>272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100</v>
      </c>
      <c r="CE477">
        <v>0</v>
      </c>
      <c r="CF477">
        <v>0</v>
      </c>
      <c r="CG477">
        <v>0</v>
      </c>
      <c r="CH477">
        <v>0</v>
      </c>
      <c r="CI477">
        <v>0</v>
      </c>
      <c r="CJ477" t="s">
        <v>273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100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100</v>
      </c>
      <c r="CW477" t="s">
        <v>274</v>
      </c>
      <c r="CX477" t="s">
        <v>268</v>
      </c>
      <c r="CY477">
        <v>0</v>
      </c>
    </row>
    <row r="478" spans="5:103" x14ac:dyDescent="0.2">
      <c r="E478">
        <v>0</v>
      </c>
      <c r="F478" t="s">
        <v>155</v>
      </c>
      <c r="G478">
        <v>0</v>
      </c>
      <c r="H478" t="s">
        <v>155</v>
      </c>
      <c r="AL478">
        <v>0</v>
      </c>
      <c r="AM478">
        <v>0.3</v>
      </c>
      <c r="AN478">
        <v>0.3</v>
      </c>
      <c r="AO478">
        <v>0.4</v>
      </c>
      <c r="AP478" t="s">
        <v>268</v>
      </c>
      <c r="AQ478">
        <v>0.3</v>
      </c>
      <c r="AR478">
        <v>0.3</v>
      </c>
      <c r="AS478">
        <v>0.2</v>
      </c>
      <c r="AT478">
        <v>0.2</v>
      </c>
      <c r="AU478" t="s">
        <v>268</v>
      </c>
      <c r="AV478" t="s">
        <v>34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100</v>
      </c>
      <c r="BC478">
        <v>0</v>
      </c>
      <c r="BD478">
        <v>0</v>
      </c>
      <c r="BE478">
        <v>0</v>
      </c>
      <c r="BF478">
        <v>0</v>
      </c>
      <c r="BG478">
        <v>0</v>
      </c>
      <c r="BH478" t="s">
        <v>270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100</v>
      </c>
      <c r="BO478">
        <v>0</v>
      </c>
      <c r="BP478">
        <v>0</v>
      </c>
      <c r="BQ478">
        <v>0</v>
      </c>
      <c r="BR478">
        <v>0</v>
      </c>
      <c r="BS478">
        <v>0</v>
      </c>
      <c r="BT478" t="s">
        <v>271</v>
      </c>
      <c r="BU478">
        <v>100</v>
      </c>
      <c r="BV478">
        <v>0</v>
      </c>
      <c r="BW478" t="s">
        <v>268</v>
      </c>
      <c r="BX478" t="s">
        <v>272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100</v>
      </c>
      <c r="CE478">
        <v>0</v>
      </c>
      <c r="CF478">
        <v>0</v>
      </c>
      <c r="CG478">
        <v>0</v>
      </c>
      <c r="CH478">
        <v>0</v>
      </c>
      <c r="CI478">
        <v>0</v>
      </c>
      <c r="CJ478" t="s">
        <v>273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100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100</v>
      </c>
      <c r="CW478" t="s">
        <v>274</v>
      </c>
      <c r="CX478" t="s">
        <v>268</v>
      </c>
      <c r="CY478">
        <v>0</v>
      </c>
    </row>
    <row r="479" spans="5:103" x14ac:dyDescent="0.2">
      <c r="E479">
        <v>0</v>
      </c>
      <c r="F479" t="s">
        <v>155</v>
      </c>
      <c r="G479">
        <v>0</v>
      </c>
      <c r="H479" t="s">
        <v>155</v>
      </c>
      <c r="AL479">
        <v>0</v>
      </c>
      <c r="AM479">
        <v>0.3</v>
      </c>
      <c r="AN479">
        <v>0.3</v>
      </c>
      <c r="AO479">
        <v>0.4</v>
      </c>
      <c r="AP479" t="s">
        <v>268</v>
      </c>
      <c r="AQ479">
        <v>0.3</v>
      </c>
      <c r="AR479">
        <v>0.3</v>
      </c>
      <c r="AS479">
        <v>0.2</v>
      </c>
      <c r="AT479">
        <v>0.2</v>
      </c>
      <c r="AU479" t="s">
        <v>268</v>
      </c>
      <c r="AV479" t="s">
        <v>34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100</v>
      </c>
      <c r="BC479">
        <v>0</v>
      </c>
      <c r="BD479">
        <v>0</v>
      </c>
      <c r="BE479">
        <v>0</v>
      </c>
      <c r="BF479">
        <v>0</v>
      </c>
      <c r="BG479">
        <v>0</v>
      </c>
      <c r="BH479" t="s">
        <v>270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100</v>
      </c>
      <c r="BO479">
        <v>0</v>
      </c>
      <c r="BP479">
        <v>0</v>
      </c>
      <c r="BQ479">
        <v>0</v>
      </c>
      <c r="BR479">
        <v>0</v>
      </c>
      <c r="BS479">
        <v>0</v>
      </c>
      <c r="BT479" t="s">
        <v>271</v>
      </c>
      <c r="BU479">
        <v>100</v>
      </c>
      <c r="BV479">
        <v>0</v>
      </c>
      <c r="BW479" t="s">
        <v>268</v>
      </c>
      <c r="BX479" t="s">
        <v>272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100</v>
      </c>
      <c r="CE479">
        <v>0</v>
      </c>
      <c r="CF479">
        <v>0</v>
      </c>
      <c r="CG479">
        <v>0</v>
      </c>
      <c r="CH479">
        <v>0</v>
      </c>
      <c r="CI479">
        <v>0</v>
      </c>
      <c r="CJ479" t="s">
        <v>273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100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100</v>
      </c>
      <c r="CW479" t="s">
        <v>274</v>
      </c>
      <c r="CX479" t="s">
        <v>268</v>
      </c>
      <c r="CY479">
        <v>0</v>
      </c>
    </row>
    <row r="480" spans="5:103" x14ac:dyDescent="0.2">
      <c r="E480">
        <v>0</v>
      </c>
      <c r="F480" t="s">
        <v>155</v>
      </c>
      <c r="G480">
        <v>0</v>
      </c>
      <c r="H480" t="s">
        <v>155</v>
      </c>
      <c r="AL480">
        <v>0</v>
      </c>
      <c r="AM480">
        <v>0.3</v>
      </c>
      <c r="AN480">
        <v>0.3</v>
      </c>
      <c r="AO480">
        <v>0.4</v>
      </c>
      <c r="AP480" t="s">
        <v>268</v>
      </c>
      <c r="AQ480">
        <v>0.3</v>
      </c>
      <c r="AR480">
        <v>0.3</v>
      </c>
      <c r="AS480">
        <v>0.2</v>
      </c>
      <c r="AT480">
        <v>0.2</v>
      </c>
      <c r="AU480" t="s">
        <v>268</v>
      </c>
      <c r="AV480" t="s">
        <v>34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100</v>
      </c>
      <c r="BC480">
        <v>0</v>
      </c>
      <c r="BD480">
        <v>0</v>
      </c>
      <c r="BE480">
        <v>0</v>
      </c>
      <c r="BF480">
        <v>0</v>
      </c>
      <c r="BG480">
        <v>0</v>
      </c>
      <c r="BH480" t="s">
        <v>270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100</v>
      </c>
      <c r="BO480">
        <v>0</v>
      </c>
      <c r="BP480">
        <v>0</v>
      </c>
      <c r="BQ480">
        <v>0</v>
      </c>
      <c r="BR480">
        <v>0</v>
      </c>
      <c r="BS480">
        <v>0</v>
      </c>
      <c r="BT480" t="s">
        <v>271</v>
      </c>
      <c r="BU480">
        <v>100</v>
      </c>
      <c r="BV480">
        <v>0</v>
      </c>
      <c r="BW480" t="s">
        <v>268</v>
      </c>
      <c r="BX480" t="s">
        <v>272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100</v>
      </c>
      <c r="CE480">
        <v>0</v>
      </c>
      <c r="CF480">
        <v>0</v>
      </c>
      <c r="CG480">
        <v>0</v>
      </c>
      <c r="CH480">
        <v>0</v>
      </c>
      <c r="CI480">
        <v>0</v>
      </c>
      <c r="CJ480" t="s">
        <v>273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100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100</v>
      </c>
      <c r="CW480" t="s">
        <v>274</v>
      </c>
      <c r="CX480" t="s">
        <v>268</v>
      </c>
      <c r="CY480">
        <v>0</v>
      </c>
    </row>
    <row r="481" spans="5:103" x14ac:dyDescent="0.2">
      <c r="E481">
        <v>0</v>
      </c>
      <c r="F481" t="s">
        <v>155</v>
      </c>
      <c r="G481">
        <v>0</v>
      </c>
      <c r="H481" t="s">
        <v>155</v>
      </c>
      <c r="AL481">
        <v>0</v>
      </c>
      <c r="AM481">
        <v>0.3</v>
      </c>
      <c r="AN481">
        <v>0.3</v>
      </c>
      <c r="AO481">
        <v>0.4</v>
      </c>
      <c r="AP481" t="s">
        <v>268</v>
      </c>
      <c r="AQ481">
        <v>0.3</v>
      </c>
      <c r="AR481">
        <v>0.3</v>
      </c>
      <c r="AS481">
        <v>0.2</v>
      </c>
      <c r="AT481">
        <v>0.2</v>
      </c>
      <c r="AU481" t="s">
        <v>268</v>
      </c>
      <c r="AV481" t="s">
        <v>34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100</v>
      </c>
      <c r="BC481">
        <v>0</v>
      </c>
      <c r="BD481">
        <v>0</v>
      </c>
      <c r="BE481">
        <v>0</v>
      </c>
      <c r="BF481">
        <v>0</v>
      </c>
      <c r="BG481">
        <v>0</v>
      </c>
      <c r="BH481" t="s">
        <v>270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100</v>
      </c>
      <c r="BO481">
        <v>0</v>
      </c>
      <c r="BP481">
        <v>0</v>
      </c>
      <c r="BQ481">
        <v>0</v>
      </c>
      <c r="BR481">
        <v>0</v>
      </c>
      <c r="BS481">
        <v>0</v>
      </c>
      <c r="BT481" t="s">
        <v>271</v>
      </c>
      <c r="BU481">
        <v>100</v>
      </c>
      <c r="BV481">
        <v>0</v>
      </c>
      <c r="BW481" t="s">
        <v>268</v>
      </c>
      <c r="BX481" t="s">
        <v>272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100</v>
      </c>
      <c r="CE481">
        <v>0</v>
      </c>
      <c r="CF481">
        <v>0</v>
      </c>
      <c r="CG481">
        <v>0</v>
      </c>
      <c r="CH481">
        <v>0</v>
      </c>
      <c r="CI481">
        <v>0</v>
      </c>
      <c r="CJ481" t="s">
        <v>273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100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100</v>
      </c>
      <c r="CW481" t="s">
        <v>274</v>
      </c>
      <c r="CX481" t="s">
        <v>268</v>
      </c>
      <c r="CY481">
        <v>0</v>
      </c>
    </row>
    <row r="482" spans="5:103" x14ac:dyDescent="0.2">
      <c r="E482">
        <v>0</v>
      </c>
      <c r="F482" t="s">
        <v>155</v>
      </c>
      <c r="G482">
        <v>0</v>
      </c>
      <c r="H482" t="s">
        <v>155</v>
      </c>
      <c r="AL482">
        <v>0</v>
      </c>
      <c r="AM482">
        <v>0.3</v>
      </c>
      <c r="AN482">
        <v>0.3</v>
      </c>
      <c r="AO482">
        <v>0.4</v>
      </c>
      <c r="AP482" t="s">
        <v>268</v>
      </c>
      <c r="AQ482">
        <v>0.3</v>
      </c>
      <c r="AR482">
        <v>0.3</v>
      </c>
      <c r="AS482">
        <v>0.2</v>
      </c>
      <c r="AT482">
        <v>0.2</v>
      </c>
      <c r="AU482" t="s">
        <v>268</v>
      </c>
      <c r="AV482" t="s">
        <v>34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100</v>
      </c>
      <c r="BC482">
        <v>0</v>
      </c>
      <c r="BD482">
        <v>0</v>
      </c>
      <c r="BE482">
        <v>0</v>
      </c>
      <c r="BF482">
        <v>0</v>
      </c>
      <c r="BG482">
        <v>0</v>
      </c>
      <c r="BH482" t="s">
        <v>270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100</v>
      </c>
      <c r="BO482">
        <v>0</v>
      </c>
      <c r="BP482">
        <v>0</v>
      </c>
      <c r="BQ482">
        <v>0</v>
      </c>
      <c r="BR482">
        <v>0</v>
      </c>
      <c r="BS482">
        <v>0</v>
      </c>
      <c r="BT482" t="s">
        <v>271</v>
      </c>
      <c r="BU482">
        <v>100</v>
      </c>
      <c r="BV482">
        <v>0</v>
      </c>
      <c r="BW482" t="s">
        <v>268</v>
      </c>
      <c r="BX482" t="s">
        <v>272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100</v>
      </c>
      <c r="CE482">
        <v>0</v>
      </c>
      <c r="CF482">
        <v>0</v>
      </c>
      <c r="CG482">
        <v>0</v>
      </c>
      <c r="CH482">
        <v>0</v>
      </c>
      <c r="CI482">
        <v>0</v>
      </c>
      <c r="CJ482" t="s">
        <v>273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100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100</v>
      </c>
      <c r="CW482" t="s">
        <v>274</v>
      </c>
      <c r="CX482" t="s">
        <v>268</v>
      </c>
      <c r="CY482">
        <v>0</v>
      </c>
    </row>
    <row r="483" spans="5:103" x14ac:dyDescent="0.2">
      <c r="E483">
        <v>0</v>
      </c>
      <c r="F483" t="s">
        <v>155</v>
      </c>
      <c r="G483">
        <v>0</v>
      </c>
      <c r="H483" t="s">
        <v>155</v>
      </c>
      <c r="AL483">
        <v>0</v>
      </c>
      <c r="AM483">
        <v>0.3</v>
      </c>
      <c r="AN483">
        <v>0.3</v>
      </c>
      <c r="AO483">
        <v>0.4</v>
      </c>
      <c r="AP483" t="s">
        <v>268</v>
      </c>
      <c r="AQ483">
        <v>0.3</v>
      </c>
      <c r="AR483">
        <v>0.3</v>
      </c>
      <c r="AS483">
        <v>0.2</v>
      </c>
      <c r="AT483">
        <v>0.2</v>
      </c>
      <c r="AU483" t="s">
        <v>268</v>
      </c>
      <c r="AV483" t="s">
        <v>34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100</v>
      </c>
      <c r="BC483">
        <v>0</v>
      </c>
      <c r="BD483">
        <v>0</v>
      </c>
      <c r="BE483">
        <v>0</v>
      </c>
      <c r="BF483">
        <v>0</v>
      </c>
      <c r="BG483">
        <v>0</v>
      </c>
      <c r="BH483" t="s">
        <v>270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100</v>
      </c>
      <c r="BO483">
        <v>0</v>
      </c>
      <c r="BP483">
        <v>0</v>
      </c>
      <c r="BQ483">
        <v>0</v>
      </c>
      <c r="BR483">
        <v>0</v>
      </c>
      <c r="BS483">
        <v>0</v>
      </c>
      <c r="BT483" t="s">
        <v>271</v>
      </c>
      <c r="BU483">
        <v>100</v>
      </c>
      <c r="BV483">
        <v>0</v>
      </c>
      <c r="BW483" t="s">
        <v>268</v>
      </c>
      <c r="BX483" t="s">
        <v>272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100</v>
      </c>
      <c r="CE483">
        <v>0</v>
      </c>
      <c r="CF483">
        <v>0</v>
      </c>
      <c r="CG483">
        <v>0</v>
      </c>
      <c r="CH483">
        <v>0</v>
      </c>
      <c r="CI483">
        <v>0</v>
      </c>
      <c r="CJ483" t="s">
        <v>273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100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100</v>
      </c>
      <c r="CW483" t="s">
        <v>274</v>
      </c>
      <c r="CX483" t="s">
        <v>268</v>
      </c>
      <c r="CY483">
        <v>0</v>
      </c>
    </row>
    <row r="484" spans="5:103" x14ac:dyDescent="0.2">
      <c r="E484">
        <v>0</v>
      </c>
      <c r="F484" t="s">
        <v>155</v>
      </c>
      <c r="G484">
        <v>0</v>
      </c>
      <c r="H484" t="s">
        <v>155</v>
      </c>
      <c r="AL484">
        <v>0</v>
      </c>
      <c r="AM484">
        <v>0.3</v>
      </c>
      <c r="AN484">
        <v>0.3</v>
      </c>
      <c r="AO484">
        <v>0.4</v>
      </c>
      <c r="AP484" t="s">
        <v>268</v>
      </c>
      <c r="AQ484">
        <v>0.3</v>
      </c>
      <c r="AR484">
        <v>0.3</v>
      </c>
      <c r="AS484">
        <v>0.2</v>
      </c>
      <c r="AT484">
        <v>0.2</v>
      </c>
      <c r="AU484" t="s">
        <v>268</v>
      </c>
      <c r="AV484" t="s">
        <v>34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100</v>
      </c>
      <c r="BC484">
        <v>0</v>
      </c>
      <c r="BD484">
        <v>0</v>
      </c>
      <c r="BE484">
        <v>0</v>
      </c>
      <c r="BF484">
        <v>0</v>
      </c>
      <c r="BG484">
        <v>0</v>
      </c>
      <c r="BH484" t="s">
        <v>270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100</v>
      </c>
      <c r="BO484">
        <v>0</v>
      </c>
      <c r="BP484">
        <v>0</v>
      </c>
      <c r="BQ484">
        <v>0</v>
      </c>
      <c r="BR484">
        <v>0</v>
      </c>
      <c r="BS484">
        <v>0</v>
      </c>
      <c r="BT484" t="s">
        <v>271</v>
      </c>
      <c r="BU484">
        <v>100</v>
      </c>
      <c r="BV484">
        <v>0</v>
      </c>
      <c r="BW484" t="s">
        <v>268</v>
      </c>
      <c r="BX484" t="s">
        <v>272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100</v>
      </c>
      <c r="CE484">
        <v>0</v>
      </c>
      <c r="CF484">
        <v>0</v>
      </c>
      <c r="CG484">
        <v>0</v>
      </c>
      <c r="CH484">
        <v>0</v>
      </c>
      <c r="CI484">
        <v>0</v>
      </c>
      <c r="CJ484" t="s">
        <v>273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100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100</v>
      </c>
      <c r="CW484" t="s">
        <v>274</v>
      </c>
      <c r="CX484" t="s">
        <v>268</v>
      </c>
      <c r="CY484">
        <v>0</v>
      </c>
    </row>
    <row r="485" spans="5:103" x14ac:dyDescent="0.2">
      <c r="E485">
        <v>0</v>
      </c>
      <c r="F485" t="s">
        <v>155</v>
      </c>
      <c r="G485">
        <v>0</v>
      </c>
      <c r="H485" t="s">
        <v>155</v>
      </c>
      <c r="AL485">
        <v>0</v>
      </c>
      <c r="AM485">
        <v>0.3</v>
      </c>
      <c r="AN485">
        <v>0.3</v>
      </c>
      <c r="AO485">
        <v>0.4</v>
      </c>
      <c r="AP485" t="s">
        <v>268</v>
      </c>
      <c r="AQ485">
        <v>0.3</v>
      </c>
      <c r="AR485">
        <v>0.3</v>
      </c>
      <c r="AS485">
        <v>0.2</v>
      </c>
      <c r="AT485">
        <v>0.2</v>
      </c>
      <c r="AU485" t="s">
        <v>268</v>
      </c>
      <c r="AV485" t="s">
        <v>34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100</v>
      </c>
      <c r="BC485">
        <v>0</v>
      </c>
      <c r="BD485">
        <v>0</v>
      </c>
      <c r="BE485">
        <v>0</v>
      </c>
      <c r="BF485">
        <v>0</v>
      </c>
      <c r="BG485">
        <v>0</v>
      </c>
      <c r="BH485" t="s">
        <v>270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100</v>
      </c>
      <c r="BO485">
        <v>0</v>
      </c>
      <c r="BP485">
        <v>0</v>
      </c>
      <c r="BQ485">
        <v>0</v>
      </c>
      <c r="BR485">
        <v>0</v>
      </c>
      <c r="BS485">
        <v>0</v>
      </c>
      <c r="BT485" t="s">
        <v>271</v>
      </c>
      <c r="BU485">
        <v>100</v>
      </c>
      <c r="BV485">
        <v>0</v>
      </c>
      <c r="BW485" t="s">
        <v>268</v>
      </c>
      <c r="BX485" t="s">
        <v>272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100</v>
      </c>
      <c r="CE485">
        <v>0</v>
      </c>
      <c r="CF485">
        <v>0</v>
      </c>
      <c r="CG485">
        <v>0</v>
      </c>
      <c r="CH485">
        <v>0</v>
      </c>
      <c r="CI485">
        <v>0</v>
      </c>
      <c r="CJ485" t="s">
        <v>273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100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100</v>
      </c>
      <c r="CW485" t="s">
        <v>274</v>
      </c>
      <c r="CX485" t="s">
        <v>268</v>
      </c>
      <c r="CY485">
        <v>0</v>
      </c>
    </row>
    <row r="486" spans="5:103" x14ac:dyDescent="0.2">
      <c r="E486">
        <v>0</v>
      </c>
      <c r="F486" t="s">
        <v>155</v>
      </c>
      <c r="G486">
        <v>0</v>
      </c>
      <c r="H486" t="s">
        <v>155</v>
      </c>
      <c r="AL486">
        <v>0</v>
      </c>
      <c r="AM486">
        <v>0.3</v>
      </c>
      <c r="AN486">
        <v>0.3</v>
      </c>
      <c r="AO486">
        <v>0.4</v>
      </c>
      <c r="AP486" t="s">
        <v>268</v>
      </c>
      <c r="AQ486">
        <v>0.3</v>
      </c>
      <c r="AR486">
        <v>0.3</v>
      </c>
      <c r="AS486">
        <v>0.2</v>
      </c>
      <c r="AT486">
        <v>0.2</v>
      </c>
      <c r="AU486" t="s">
        <v>268</v>
      </c>
      <c r="AV486" t="s">
        <v>34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100</v>
      </c>
      <c r="BC486">
        <v>0</v>
      </c>
      <c r="BD486">
        <v>0</v>
      </c>
      <c r="BE486">
        <v>0</v>
      </c>
      <c r="BF486">
        <v>0</v>
      </c>
      <c r="BG486">
        <v>0</v>
      </c>
      <c r="BH486" t="s">
        <v>270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100</v>
      </c>
      <c r="BO486">
        <v>0</v>
      </c>
      <c r="BP486">
        <v>0</v>
      </c>
      <c r="BQ486">
        <v>0</v>
      </c>
      <c r="BR486">
        <v>0</v>
      </c>
      <c r="BS486">
        <v>0</v>
      </c>
      <c r="BT486" t="s">
        <v>271</v>
      </c>
      <c r="BU486">
        <v>100</v>
      </c>
      <c r="BV486">
        <v>0</v>
      </c>
      <c r="BW486" t="s">
        <v>268</v>
      </c>
      <c r="BX486" t="s">
        <v>272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100</v>
      </c>
      <c r="CE486">
        <v>0</v>
      </c>
      <c r="CF486">
        <v>0</v>
      </c>
      <c r="CG486">
        <v>0</v>
      </c>
      <c r="CH486">
        <v>0</v>
      </c>
      <c r="CI486">
        <v>0</v>
      </c>
      <c r="CJ486" t="s">
        <v>273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100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100</v>
      </c>
      <c r="CW486" t="s">
        <v>274</v>
      </c>
      <c r="CX486" t="s">
        <v>268</v>
      </c>
      <c r="CY486">
        <v>0</v>
      </c>
    </row>
    <row r="487" spans="5:103" x14ac:dyDescent="0.2">
      <c r="E487">
        <v>0</v>
      </c>
      <c r="F487" t="s">
        <v>155</v>
      </c>
      <c r="G487">
        <v>0</v>
      </c>
      <c r="H487" t="s">
        <v>155</v>
      </c>
      <c r="AL487">
        <v>0</v>
      </c>
      <c r="AM487">
        <v>0.3</v>
      </c>
      <c r="AN487">
        <v>0.3</v>
      </c>
      <c r="AO487">
        <v>0.4</v>
      </c>
      <c r="AP487" t="s">
        <v>268</v>
      </c>
      <c r="AQ487">
        <v>0.3</v>
      </c>
      <c r="AR487">
        <v>0.3</v>
      </c>
      <c r="AS487">
        <v>0.2</v>
      </c>
      <c r="AT487">
        <v>0.2</v>
      </c>
      <c r="AU487" t="s">
        <v>268</v>
      </c>
      <c r="AV487" t="s">
        <v>34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100</v>
      </c>
      <c r="BC487">
        <v>0</v>
      </c>
      <c r="BD487">
        <v>0</v>
      </c>
      <c r="BE487">
        <v>0</v>
      </c>
      <c r="BF487">
        <v>0</v>
      </c>
      <c r="BG487">
        <v>0</v>
      </c>
      <c r="BH487" t="s">
        <v>270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100</v>
      </c>
      <c r="BO487">
        <v>0</v>
      </c>
      <c r="BP487">
        <v>0</v>
      </c>
      <c r="BQ487">
        <v>0</v>
      </c>
      <c r="BR487">
        <v>0</v>
      </c>
      <c r="BS487">
        <v>0</v>
      </c>
      <c r="BT487" t="s">
        <v>271</v>
      </c>
      <c r="BU487">
        <v>100</v>
      </c>
      <c r="BV487">
        <v>0</v>
      </c>
      <c r="BW487" t="s">
        <v>268</v>
      </c>
      <c r="BX487" t="s">
        <v>272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100</v>
      </c>
      <c r="CE487">
        <v>0</v>
      </c>
      <c r="CF487">
        <v>0</v>
      </c>
      <c r="CG487">
        <v>0</v>
      </c>
      <c r="CH487">
        <v>0</v>
      </c>
      <c r="CI487">
        <v>0</v>
      </c>
      <c r="CJ487" t="s">
        <v>273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100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100</v>
      </c>
      <c r="CW487" t="s">
        <v>274</v>
      </c>
      <c r="CX487" t="s">
        <v>268</v>
      </c>
      <c r="CY487">
        <v>0</v>
      </c>
    </row>
    <row r="488" spans="5:103" x14ac:dyDescent="0.2">
      <c r="E488">
        <v>0</v>
      </c>
      <c r="F488" t="s">
        <v>155</v>
      </c>
      <c r="G488">
        <v>0</v>
      </c>
      <c r="H488" t="s">
        <v>155</v>
      </c>
      <c r="AL488">
        <v>0</v>
      </c>
      <c r="AM488">
        <v>0.3</v>
      </c>
      <c r="AN488">
        <v>0.3</v>
      </c>
      <c r="AO488">
        <v>0.4</v>
      </c>
      <c r="AP488" t="s">
        <v>268</v>
      </c>
      <c r="AQ488">
        <v>0.3</v>
      </c>
      <c r="AR488">
        <v>0.3</v>
      </c>
      <c r="AS488">
        <v>0.2</v>
      </c>
      <c r="AT488">
        <v>0.2</v>
      </c>
      <c r="AU488" t="s">
        <v>268</v>
      </c>
      <c r="AV488" t="s">
        <v>34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100</v>
      </c>
      <c r="BC488">
        <v>0</v>
      </c>
      <c r="BD488">
        <v>0</v>
      </c>
      <c r="BE488">
        <v>0</v>
      </c>
      <c r="BF488">
        <v>0</v>
      </c>
      <c r="BG488">
        <v>0</v>
      </c>
      <c r="BH488" t="s">
        <v>270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100</v>
      </c>
      <c r="BO488">
        <v>0</v>
      </c>
      <c r="BP488">
        <v>0</v>
      </c>
      <c r="BQ488">
        <v>0</v>
      </c>
      <c r="BR488">
        <v>0</v>
      </c>
      <c r="BS488">
        <v>0</v>
      </c>
      <c r="BT488" t="s">
        <v>271</v>
      </c>
      <c r="BU488">
        <v>100</v>
      </c>
      <c r="BV488">
        <v>0</v>
      </c>
      <c r="BW488" t="s">
        <v>268</v>
      </c>
      <c r="BX488" t="s">
        <v>272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100</v>
      </c>
      <c r="CE488">
        <v>0</v>
      </c>
      <c r="CF488">
        <v>0</v>
      </c>
      <c r="CG488">
        <v>0</v>
      </c>
      <c r="CH488">
        <v>0</v>
      </c>
      <c r="CI488">
        <v>0</v>
      </c>
      <c r="CJ488" t="s">
        <v>273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100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100</v>
      </c>
      <c r="CW488" t="s">
        <v>274</v>
      </c>
      <c r="CX488" t="s">
        <v>268</v>
      </c>
      <c r="CY488">
        <v>0</v>
      </c>
    </row>
    <row r="489" spans="5:103" x14ac:dyDescent="0.2">
      <c r="E489">
        <v>0</v>
      </c>
      <c r="F489" t="s">
        <v>155</v>
      </c>
      <c r="G489">
        <v>0</v>
      </c>
      <c r="H489" t="s">
        <v>155</v>
      </c>
      <c r="AL489">
        <v>0</v>
      </c>
      <c r="AM489">
        <v>0.3</v>
      </c>
      <c r="AN489">
        <v>0.3</v>
      </c>
      <c r="AO489">
        <v>0.4</v>
      </c>
      <c r="AP489" t="s">
        <v>268</v>
      </c>
      <c r="AQ489">
        <v>0.3</v>
      </c>
      <c r="AR489">
        <v>0.3</v>
      </c>
      <c r="AS489">
        <v>0.2</v>
      </c>
      <c r="AT489">
        <v>0.2</v>
      </c>
      <c r="AU489" t="s">
        <v>268</v>
      </c>
      <c r="AV489" t="s">
        <v>34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100</v>
      </c>
      <c r="BC489">
        <v>0</v>
      </c>
      <c r="BD489">
        <v>0</v>
      </c>
      <c r="BE489">
        <v>0</v>
      </c>
      <c r="BF489">
        <v>0</v>
      </c>
      <c r="BG489">
        <v>0</v>
      </c>
      <c r="BH489" t="s">
        <v>270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100</v>
      </c>
      <c r="BO489">
        <v>0</v>
      </c>
      <c r="BP489">
        <v>0</v>
      </c>
      <c r="BQ489">
        <v>0</v>
      </c>
      <c r="BR489">
        <v>0</v>
      </c>
      <c r="BS489">
        <v>0</v>
      </c>
      <c r="BT489" t="s">
        <v>271</v>
      </c>
      <c r="BU489">
        <v>100</v>
      </c>
      <c r="BV489">
        <v>0</v>
      </c>
      <c r="BW489" t="s">
        <v>268</v>
      </c>
      <c r="BX489" t="s">
        <v>272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100</v>
      </c>
      <c r="CE489">
        <v>0</v>
      </c>
      <c r="CF489">
        <v>0</v>
      </c>
      <c r="CG489">
        <v>0</v>
      </c>
      <c r="CH489">
        <v>0</v>
      </c>
      <c r="CI489">
        <v>0</v>
      </c>
      <c r="CJ489" t="s">
        <v>273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100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100</v>
      </c>
      <c r="CW489" t="s">
        <v>274</v>
      </c>
      <c r="CX489" t="s">
        <v>268</v>
      </c>
      <c r="CY489">
        <v>0</v>
      </c>
    </row>
    <row r="490" spans="5:103" x14ac:dyDescent="0.2">
      <c r="E490">
        <v>0</v>
      </c>
      <c r="F490" t="s">
        <v>155</v>
      </c>
      <c r="G490">
        <v>0</v>
      </c>
      <c r="H490" t="s">
        <v>155</v>
      </c>
      <c r="AL490">
        <v>0</v>
      </c>
      <c r="AM490">
        <v>0.3</v>
      </c>
      <c r="AN490">
        <v>0.3</v>
      </c>
      <c r="AO490">
        <v>0.4</v>
      </c>
      <c r="AP490" t="s">
        <v>268</v>
      </c>
      <c r="AQ490">
        <v>0.3</v>
      </c>
      <c r="AR490">
        <v>0.3</v>
      </c>
      <c r="AS490">
        <v>0.2</v>
      </c>
      <c r="AT490">
        <v>0.2</v>
      </c>
      <c r="AU490" t="s">
        <v>268</v>
      </c>
      <c r="AV490" t="s">
        <v>34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100</v>
      </c>
      <c r="BC490">
        <v>0</v>
      </c>
      <c r="BD490">
        <v>0</v>
      </c>
      <c r="BE490">
        <v>0</v>
      </c>
      <c r="BF490">
        <v>0</v>
      </c>
      <c r="BG490">
        <v>0</v>
      </c>
      <c r="BH490" t="s">
        <v>270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100</v>
      </c>
      <c r="BO490">
        <v>0</v>
      </c>
      <c r="BP490">
        <v>0</v>
      </c>
      <c r="BQ490">
        <v>0</v>
      </c>
      <c r="BR490">
        <v>0</v>
      </c>
      <c r="BS490">
        <v>0</v>
      </c>
      <c r="BT490" t="s">
        <v>271</v>
      </c>
      <c r="BU490">
        <v>100</v>
      </c>
      <c r="BV490">
        <v>0</v>
      </c>
      <c r="BW490" t="s">
        <v>268</v>
      </c>
      <c r="BX490" t="s">
        <v>272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100</v>
      </c>
      <c r="CE490">
        <v>0</v>
      </c>
      <c r="CF490">
        <v>0</v>
      </c>
      <c r="CG490">
        <v>0</v>
      </c>
      <c r="CH490">
        <v>0</v>
      </c>
      <c r="CI490">
        <v>0</v>
      </c>
      <c r="CJ490" t="s">
        <v>273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100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100</v>
      </c>
      <c r="CW490" t="s">
        <v>274</v>
      </c>
      <c r="CX490" t="s">
        <v>268</v>
      </c>
      <c r="CY490">
        <v>0</v>
      </c>
    </row>
    <row r="491" spans="5:103" x14ac:dyDescent="0.2">
      <c r="E491">
        <v>0</v>
      </c>
      <c r="F491" t="s">
        <v>155</v>
      </c>
      <c r="G491">
        <v>0</v>
      </c>
      <c r="H491" t="s">
        <v>155</v>
      </c>
      <c r="AL491">
        <v>0</v>
      </c>
      <c r="AM491">
        <v>0.3</v>
      </c>
      <c r="AN491">
        <v>0.3</v>
      </c>
      <c r="AO491">
        <v>0.4</v>
      </c>
      <c r="AP491" t="s">
        <v>268</v>
      </c>
      <c r="AQ491">
        <v>0.3</v>
      </c>
      <c r="AR491">
        <v>0.3</v>
      </c>
      <c r="AS491">
        <v>0.2</v>
      </c>
      <c r="AT491">
        <v>0.2</v>
      </c>
      <c r="AU491" t="s">
        <v>268</v>
      </c>
      <c r="AV491" t="s">
        <v>34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100</v>
      </c>
      <c r="BC491">
        <v>0</v>
      </c>
      <c r="BD491">
        <v>0</v>
      </c>
      <c r="BE491">
        <v>0</v>
      </c>
      <c r="BF491">
        <v>0</v>
      </c>
      <c r="BG491">
        <v>0</v>
      </c>
      <c r="BH491" t="s">
        <v>270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100</v>
      </c>
      <c r="BO491">
        <v>0</v>
      </c>
      <c r="BP491">
        <v>0</v>
      </c>
      <c r="BQ491">
        <v>0</v>
      </c>
      <c r="BR491">
        <v>0</v>
      </c>
      <c r="BS491">
        <v>0</v>
      </c>
      <c r="BT491" t="s">
        <v>271</v>
      </c>
      <c r="BU491">
        <v>100</v>
      </c>
      <c r="BV491">
        <v>0</v>
      </c>
      <c r="BW491" t="s">
        <v>268</v>
      </c>
      <c r="BX491" t="s">
        <v>272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100</v>
      </c>
      <c r="CE491">
        <v>0</v>
      </c>
      <c r="CF491">
        <v>0</v>
      </c>
      <c r="CG491">
        <v>0</v>
      </c>
      <c r="CH491">
        <v>0</v>
      </c>
      <c r="CI491">
        <v>0</v>
      </c>
      <c r="CJ491" t="s">
        <v>273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100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100</v>
      </c>
      <c r="CW491" t="s">
        <v>274</v>
      </c>
      <c r="CX491" t="s">
        <v>268</v>
      </c>
      <c r="CY491">
        <v>0</v>
      </c>
    </row>
    <row r="492" spans="5:103" x14ac:dyDescent="0.2">
      <c r="E492">
        <v>0</v>
      </c>
      <c r="F492" t="s">
        <v>155</v>
      </c>
      <c r="G492">
        <v>0</v>
      </c>
      <c r="H492" t="s">
        <v>155</v>
      </c>
      <c r="AL492">
        <v>0</v>
      </c>
      <c r="AM492">
        <v>0.3</v>
      </c>
      <c r="AN492">
        <v>0.3</v>
      </c>
      <c r="AO492">
        <v>0.4</v>
      </c>
      <c r="AP492" t="s">
        <v>268</v>
      </c>
      <c r="AQ492">
        <v>0.3</v>
      </c>
      <c r="AR492">
        <v>0.3</v>
      </c>
      <c r="AS492">
        <v>0.2</v>
      </c>
      <c r="AT492">
        <v>0.2</v>
      </c>
      <c r="AU492" t="s">
        <v>268</v>
      </c>
      <c r="AV492" t="s">
        <v>34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100</v>
      </c>
      <c r="BC492">
        <v>0</v>
      </c>
      <c r="BD492">
        <v>0</v>
      </c>
      <c r="BE492">
        <v>0</v>
      </c>
      <c r="BF492">
        <v>0</v>
      </c>
      <c r="BG492">
        <v>0</v>
      </c>
      <c r="BH492" t="s">
        <v>270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100</v>
      </c>
      <c r="BO492">
        <v>0</v>
      </c>
      <c r="BP492">
        <v>0</v>
      </c>
      <c r="BQ492">
        <v>0</v>
      </c>
      <c r="BR492">
        <v>0</v>
      </c>
      <c r="BS492">
        <v>0</v>
      </c>
      <c r="BT492" t="s">
        <v>271</v>
      </c>
      <c r="BU492">
        <v>100</v>
      </c>
      <c r="BV492">
        <v>0</v>
      </c>
      <c r="BW492" t="s">
        <v>268</v>
      </c>
      <c r="BX492" t="s">
        <v>272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100</v>
      </c>
      <c r="CE492">
        <v>0</v>
      </c>
      <c r="CF492">
        <v>0</v>
      </c>
      <c r="CG492">
        <v>0</v>
      </c>
      <c r="CH492">
        <v>0</v>
      </c>
      <c r="CI492">
        <v>0</v>
      </c>
      <c r="CJ492" t="s">
        <v>273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100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100</v>
      </c>
      <c r="CW492" t="s">
        <v>274</v>
      </c>
      <c r="CX492" t="s">
        <v>268</v>
      </c>
      <c r="CY492">
        <v>0</v>
      </c>
    </row>
    <row r="493" spans="5:103" x14ac:dyDescent="0.2">
      <c r="E493">
        <v>0</v>
      </c>
      <c r="F493" t="s">
        <v>155</v>
      </c>
      <c r="G493">
        <v>0</v>
      </c>
      <c r="H493" t="s">
        <v>155</v>
      </c>
      <c r="AL493">
        <v>0</v>
      </c>
      <c r="AM493">
        <v>0.3</v>
      </c>
      <c r="AN493">
        <v>0.3</v>
      </c>
      <c r="AO493">
        <v>0.4</v>
      </c>
      <c r="AP493" t="s">
        <v>268</v>
      </c>
      <c r="AQ493">
        <v>0.3</v>
      </c>
      <c r="AR493">
        <v>0.3</v>
      </c>
      <c r="AS493">
        <v>0.2</v>
      </c>
      <c r="AT493">
        <v>0.2</v>
      </c>
      <c r="AU493" t="s">
        <v>268</v>
      </c>
      <c r="AV493" t="s">
        <v>34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100</v>
      </c>
      <c r="BC493">
        <v>0</v>
      </c>
      <c r="BD493">
        <v>0</v>
      </c>
      <c r="BE493">
        <v>0</v>
      </c>
      <c r="BF493">
        <v>0</v>
      </c>
      <c r="BG493">
        <v>0</v>
      </c>
      <c r="BH493" t="s">
        <v>270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100</v>
      </c>
      <c r="BO493">
        <v>0</v>
      </c>
      <c r="BP493">
        <v>0</v>
      </c>
      <c r="BQ493">
        <v>0</v>
      </c>
      <c r="BR493">
        <v>0</v>
      </c>
      <c r="BS493">
        <v>0</v>
      </c>
      <c r="BT493" t="s">
        <v>271</v>
      </c>
      <c r="BU493">
        <v>100</v>
      </c>
      <c r="BV493">
        <v>0</v>
      </c>
      <c r="BW493" t="s">
        <v>268</v>
      </c>
      <c r="BX493" t="s">
        <v>272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100</v>
      </c>
      <c r="CE493">
        <v>0</v>
      </c>
      <c r="CF493">
        <v>0</v>
      </c>
      <c r="CG493">
        <v>0</v>
      </c>
      <c r="CH493">
        <v>0</v>
      </c>
      <c r="CI493">
        <v>0</v>
      </c>
      <c r="CJ493" t="s">
        <v>273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100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100</v>
      </c>
      <c r="CW493" t="s">
        <v>274</v>
      </c>
      <c r="CX493" t="s">
        <v>268</v>
      </c>
      <c r="CY493">
        <v>0</v>
      </c>
    </row>
    <row r="494" spans="5:103" x14ac:dyDescent="0.2">
      <c r="E494">
        <v>0</v>
      </c>
      <c r="F494" t="s">
        <v>155</v>
      </c>
      <c r="G494">
        <v>0</v>
      </c>
      <c r="H494" t="s">
        <v>155</v>
      </c>
      <c r="AL494">
        <v>0</v>
      </c>
      <c r="AM494">
        <v>0.3</v>
      </c>
      <c r="AN494">
        <v>0.3</v>
      </c>
      <c r="AO494">
        <v>0.4</v>
      </c>
      <c r="AP494" t="s">
        <v>268</v>
      </c>
      <c r="AQ494">
        <v>0.3</v>
      </c>
      <c r="AR494">
        <v>0.3</v>
      </c>
      <c r="AS494">
        <v>0.2</v>
      </c>
      <c r="AT494">
        <v>0.2</v>
      </c>
      <c r="AU494" t="s">
        <v>268</v>
      </c>
      <c r="AV494" t="s">
        <v>34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100</v>
      </c>
      <c r="BC494">
        <v>0</v>
      </c>
      <c r="BD494">
        <v>0</v>
      </c>
      <c r="BE494">
        <v>0</v>
      </c>
      <c r="BF494">
        <v>0</v>
      </c>
      <c r="BG494">
        <v>0</v>
      </c>
      <c r="BH494" t="s">
        <v>270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100</v>
      </c>
      <c r="BO494">
        <v>0</v>
      </c>
      <c r="BP494">
        <v>0</v>
      </c>
      <c r="BQ494">
        <v>0</v>
      </c>
      <c r="BR494">
        <v>0</v>
      </c>
      <c r="BS494">
        <v>0</v>
      </c>
      <c r="BT494" t="s">
        <v>271</v>
      </c>
      <c r="BU494">
        <v>100</v>
      </c>
      <c r="BV494">
        <v>0</v>
      </c>
      <c r="BW494" t="s">
        <v>268</v>
      </c>
      <c r="BX494" t="s">
        <v>272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100</v>
      </c>
      <c r="CE494">
        <v>0</v>
      </c>
      <c r="CF494">
        <v>0</v>
      </c>
      <c r="CG494">
        <v>0</v>
      </c>
      <c r="CH494">
        <v>0</v>
      </c>
      <c r="CI494">
        <v>0</v>
      </c>
      <c r="CJ494" t="s">
        <v>273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100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100</v>
      </c>
      <c r="CW494" t="s">
        <v>274</v>
      </c>
      <c r="CX494" t="s">
        <v>268</v>
      </c>
      <c r="CY494">
        <v>0</v>
      </c>
    </row>
    <row r="495" spans="5:103" x14ac:dyDescent="0.2">
      <c r="E495">
        <v>0</v>
      </c>
      <c r="F495" t="s">
        <v>155</v>
      </c>
      <c r="G495">
        <v>0</v>
      </c>
      <c r="H495" t="s">
        <v>155</v>
      </c>
      <c r="AL495">
        <v>0</v>
      </c>
      <c r="AM495">
        <v>0.3</v>
      </c>
      <c r="AN495">
        <v>0.3</v>
      </c>
      <c r="AO495">
        <v>0.4</v>
      </c>
      <c r="AP495" t="s">
        <v>268</v>
      </c>
      <c r="AQ495">
        <v>0.3</v>
      </c>
      <c r="AR495">
        <v>0.3</v>
      </c>
      <c r="AS495">
        <v>0.2</v>
      </c>
      <c r="AT495">
        <v>0.2</v>
      </c>
      <c r="AU495" t="s">
        <v>268</v>
      </c>
      <c r="AV495" t="s">
        <v>34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100</v>
      </c>
      <c r="BC495">
        <v>0</v>
      </c>
      <c r="BD495">
        <v>0</v>
      </c>
      <c r="BE495">
        <v>0</v>
      </c>
      <c r="BF495">
        <v>0</v>
      </c>
      <c r="BG495">
        <v>0</v>
      </c>
      <c r="BH495" t="s">
        <v>270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100</v>
      </c>
      <c r="BO495">
        <v>0</v>
      </c>
      <c r="BP495">
        <v>0</v>
      </c>
      <c r="BQ495">
        <v>0</v>
      </c>
      <c r="BR495">
        <v>0</v>
      </c>
      <c r="BS495">
        <v>0</v>
      </c>
      <c r="BT495" t="s">
        <v>271</v>
      </c>
      <c r="BU495">
        <v>100</v>
      </c>
      <c r="BV495">
        <v>0</v>
      </c>
      <c r="BW495" t="s">
        <v>268</v>
      </c>
      <c r="BX495" t="s">
        <v>272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100</v>
      </c>
      <c r="CE495">
        <v>0</v>
      </c>
      <c r="CF495">
        <v>0</v>
      </c>
      <c r="CG495">
        <v>0</v>
      </c>
      <c r="CH495">
        <v>0</v>
      </c>
      <c r="CI495">
        <v>0</v>
      </c>
      <c r="CJ495" t="s">
        <v>273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100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100</v>
      </c>
      <c r="CW495" t="s">
        <v>274</v>
      </c>
      <c r="CX495" t="s">
        <v>268</v>
      </c>
      <c r="CY495">
        <v>0</v>
      </c>
    </row>
    <row r="496" spans="5:103" x14ac:dyDescent="0.2">
      <c r="E496">
        <v>0</v>
      </c>
      <c r="F496" t="s">
        <v>155</v>
      </c>
      <c r="G496">
        <v>0</v>
      </c>
      <c r="H496" t="s">
        <v>155</v>
      </c>
      <c r="AL496">
        <v>0</v>
      </c>
      <c r="AM496">
        <v>0.3</v>
      </c>
      <c r="AN496">
        <v>0.3</v>
      </c>
      <c r="AO496">
        <v>0.4</v>
      </c>
      <c r="AP496" t="s">
        <v>268</v>
      </c>
      <c r="AQ496">
        <v>0.3</v>
      </c>
      <c r="AR496">
        <v>0.3</v>
      </c>
      <c r="AS496">
        <v>0.2</v>
      </c>
      <c r="AT496">
        <v>0.2</v>
      </c>
      <c r="AU496" t="s">
        <v>268</v>
      </c>
      <c r="AV496" t="s">
        <v>34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100</v>
      </c>
      <c r="BC496">
        <v>0</v>
      </c>
      <c r="BD496">
        <v>0</v>
      </c>
      <c r="BE496">
        <v>0</v>
      </c>
      <c r="BF496">
        <v>0</v>
      </c>
      <c r="BG496">
        <v>0</v>
      </c>
      <c r="BH496" t="s">
        <v>270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100</v>
      </c>
      <c r="BO496">
        <v>0</v>
      </c>
      <c r="BP496">
        <v>0</v>
      </c>
      <c r="BQ496">
        <v>0</v>
      </c>
      <c r="BR496">
        <v>0</v>
      </c>
      <c r="BS496">
        <v>0</v>
      </c>
      <c r="BT496" t="s">
        <v>271</v>
      </c>
      <c r="BU496">
        <v>100</v>
      </c>
      <c r="BV496">
        <v>0</v>
      </c>
      <c r="BW496" t="s">
        <v>268</v>
      </c>
      <c r="BX496" t="s">
        <v>272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100</v>
      </c>
      <c r="CE496">
        <v>0</v>
      </c>
      <c r="CF496">
        <v>0</v>
      </c>
      <c r="CG496">
        <v>0</v>
      </c>
      <c r="CH496">
        <v>0</v>
      </c>
      <c r="CI496">
        <v>0</v>
      </c>
      <c r="CJ496" t="s">
        <v>273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100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100</v>
      </c>
      <c r="CW496" t="s">
        <v>274</v>
      </c>
      <c r="CX496" t="s">
        <v>268</v>
      </c>
      <c r="CY496">
        <v>0</v>
      </c>
    </row>
    <row r="497" spans="5:103" x14ac:dyDescent="0.2">
      <c r="E497">
        <v>0</v>
      </c>
      <c r="F497" t="s">
        <v>155</v>
      </c>
      <c r="G497">
        <v>0</v>
      </c>
      <c r="H497" t="s">
        <v>155</v>
      </c>
      <c r="AL497">
        <v>0</v>
      </c>
      <c r="AM497">
        <v>0.3</v>
      </c>
      <c r="AN497">
        <v>0.3</v>
      </c>
      <c r="AO497">
        <v>0.4</v>
      </c>
      <c r="AP497" t="s">
        <v>268</v>
      </c>
      <c r="AQ497">
        <v>0.3</v>
      </c>
      <c r="AR497">
        <v>0.3</v>
      </c>
      <c r="AS497">
        <v>0.2</v>
      </c>
      <c r="AT497">
        <v>0.2</v>
      </c>
      <c r="AU497" t="s">
        <v>268</v>
      </c>
      <c r="AV497" t="s">
        <v>34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100</v>
      </c>
      <c r="BC497">
        <v>0</v>
      </c>
      <c r="BD497">
        <v>0</v>
      </c>
      <c r="BE497">
        <v>0</v>
      </c>
      <c r="BF497">
        <v>0</v>
      </c>
      <c r="BG497">
        <v>0</v>
      </c>
      <c r="BH497" t="s">
        <v>270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100</v>
      </c>
      <c r="BO497">
        <v>0</v>
      </c>
      <c r="BP497">
        <v>0</v>
      </c>
      <c r="BQ497">
        <v>0</v>
      </c>
      <c r="BR497">
        <v>0</v>
      </c>
      <c r="BS497">
        <v>0</v>
      </c>
      <c r="BT497" t="s">
        <v>271</v>
      </c>
      <c r="BU497">
        <v>100</v>
      </c>
      <c r="BV497">
        <v>0</v>
      </c>
      <c r="BW497" t="s">
        <v>268</v>
      </c>
      <c r="BX497" t="s">
        <v>272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100</v>
      </c>
      <c r="CE497">
        <v>0</v>
      </c>
      <c r="CF497">
        <v>0</v>
      </c>
      <c r="CG497">
        <v>0</v>
      </c>
      <c r="CH497">
        <v>0</v>
      </c>
      <c r="CI497">
        <v>0</v>
      </c>
      <c r="CJ497" t="s">
        <v>273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100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100</v>
      </c>
      <c r="CW497" t="s">
        <v>274</v>
      </c>
      <c r="CX497" t="s">
        <v>268</v>
      </c>
      <c r="CY497">
        <v>0</v>
      </c>
    </row>
    <row r="498" spans="5:103" x14ac:dyDescent="0.2">
      <c r="E498">
        <v>0</v>
      </c>
      <c r="F498" t="s">
        <v>155</v>
      </c>
      <c r="G498">
        <v>0</v>
      </c>
      <c r="H498" t="s">
        <v>155</v>
      </c>
      <c r="AL498">
        <v>0</v>
      </c>
      <c r="AM498">
        <v>0.3</v>
      </c>
      <c r="AN498">
        <v>0.3</v>
      </c>
      <c r="AO498">
        <v>0.4</v>
      </c>
      <c r="AP498" t="s">
        <v>268</v>
      </c>
      <c r="AQ498">
        <v>0.3</v>
      </c>
      <c r="AR498">
        <v>0.3</v>
      </c>
      <c r="AS498">
        <v>0.2</v>
      </c>
      <c r="AT498">
        <v>0.2</v>
      </c>
      <c r="AU498" t="s">
        <v>268</v>
      </c>
      <c r="AV498" t="s">
        <v>34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100</v>
      </c>
      <c r="BC498">
        <v>0</v>
      </c>
      <c r="BD498">
        <v>0</v>
      </c>
      <c r="BE498">
        <v>0</v>
      </c>
      <c r="BF498">
        <v>0</v>
      </c>
      <c r="BG498">
        <v>0</v>
      </c>
      <c r="BH498" t="s">
        <v>270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100</v>
      </c>
      <c r="BO498">
        <v>0</v>
      </c>
      <c r="BP498">
        <v>0</v>
      </c>
      <c r="BQ498">
        <v>0</v>
      </c>
      <c r="BR498">
        <v>0</v>
      </c>
      <c r="BS498">
        <v>0</v>
      </c>
      <c r="BT498" t="s">
        <v>271</v>
      </c>
      <c r="BU498">
        <v>100</v>
      </c>
      <c r="BV498">
        <v>0</v>
      </c>
      <c r="BW498" t="s">
        <v>268</v>
      </c>
      <c r="BX498" t="s">
        <v>272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100</v>
      </c>
      <c r="CE498">
        <v>0</v>
      </c>
      <c r="CF498">
        <v>0</v>
      </c>
      <c r="CG498">
        <v>0</v>
      </c>
      <c r="CH498">
        <v>0</v>
      </c>
      <c r="CI498">
        <v>0</v>
      </c>
      <c r="CJ498" t="s">
        <v>273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100</v>
      </c>
      <c r="CQ498">
        <v>0</v>
      </c>
      <c r="CR498">
        <v>0</v>
      </c>
      <c r="CS498">
        <v>0</v>
      </c>
      <c r="CT498">
        <v>0</v>
      </c>
      <c r="CU498">
        <v>0</v>
      </c>
      <c r="CV498">
        <v>100</v>
      </c>
      <c r="CW498" t="s">
        <v>274</v>
      </c>
      <c r="CX498" t="s">
        <v>268</v>
      </c>
      <c r="CY498">
        <v>0</v>
      </c>
    </row>
    <row r="499" spans="5:103" x14ac:dyDescent="0.2">
      <c r="E499">
        <v>0</v>
      </c>
      <c r="F499" t="s">
        <v>155</v>
      </c>
      <c r="G499">
        <v>0</v>
      </c>
      <c r="H499" t="s">
        <v>155</v>
      </c>
      <c r="AL499">
        <v>0</v>
      </c>
      <c r="AM499">
        <v>0.3</v>
      </c>
      <c r="AN499">
        <v>0.3</v>
      </c>
      <c r="AO499">
        <v>0.4</v>
      </c>
      <c r="AP499" t="s">
        <v>268</v>
      </c>
      <c r="AQ499">
        <v>0.3</v>
      </c>
      <c r="AR499">
        <v>0.3</v>
      </c>
      <c r="AS499">
        <v>0.2</v>
      </c>
      <c r="AT499">
        <v>0.2</v>
      </c>
      <c r="AU499" t="s">
        <v>268</v>
      </c>
      <c r="AV499" t="s">
        <v>34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100</v>
      </c>
      <c r="BC499">
        <v>0</v>
      </c>
      <c r="BD499">
        <v>0</v>
      </c>
      <c r="BE499">
        <v>0</v>
      </c>
      <c r="BF499">
        <v>0</v>
      </c>
      <c r="BG499">
        <v>0</v>
      </c>
      <c r="BH499" t="s">
        <v>270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100</v>
      </c>
      <c r="BO499">
        <v>0</v>
      </c>
      <c r="BP499">
        <v>0</v>
      </c>
      <c r="BQ499">
        <v>0</v>
      </c>
      <c r="BR499">
        <v>0</v>
      </c>
      <c r="BS499">
        <v>0</v>
      </c>
      <c r="BT499" t="s">
        <v>271</v>
      </c>
      <c r="BU499">
        <v>100</v>
      </c>
      <c r="BV499">
        <v>0</v>
      </c>
      <c r="BW499" t="s">
        <v>268</v>
      </c>
      <c r="BX499" t="s">
        <v>272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100</v>
      </c>
      <c r="CE499">
        <v>0</v>
      </c>
      <c r="CF499">
        <v>0</v>
      </c>
      <c r="CG499">
        <v>0</v>
      </c>
      <c r="CH499">
        <v>0</v>
      </c>
      <c r="CI499">
        <v>0</v>
      </c>
      <c r="CJ499" t="s">
        <v>273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100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100</v>
      </c>
      <c r="CW499" t="s">
        <v>274</v>
      </c>
      <c r="CX499" t="s">
        <v>268</v>
      </c>
      <c r="CY499">
        <v>0</v>
      </c>
    </row>
    <row r="500" spans="5:103" x14ac:dyDescent="0.2">
      <c r="E500">
        <v>0</v>
      </c>
      <c r="F500" t="s">
        <v>155</v>
      </c>
      <c r="G500">
        <v>0</v>
      </c>
      <c r="H500" t="s">
        <v>155</v>
      </c>
      <c r="AL500">
        <v>0</v>
      </c>
      <c r="AM500">
        <v>0.3</v>
      </c>
      <c r="AN500">
        <v>0.3</v>
      </c>
      <c r="AO500">
        <v>0.4</v>
      </c>
      <c r="AP500" t="s">
        <v>268</v>
      </c>
      <c r="AQ500">
        <v>0.3</v>
      </c>
      <c r="AR500">
        <v>0.3</v>
      </c>
      <c r="AS500">
        <v>0.2</v>
      </c>
      <c r="AT500">
        <v>0.2</v>
      </c>
      <c r="AU500" t="s">
        <v>268</v>
      </c>
      <c r="AV500" t="s">
        <v>34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100</v>
      </c>
      <c r="BC500">
        <v>0</v>
      </c>
      <c r="BD500">
        <v>0</v>
      </c>
      <c r="BE500">
        <v>0</v>
      </c>
      <c r="BF500">
        <v>0</v>
      </c>
      <c r="BG500">
        <v>0</v>
      </c>
      <c r="BH500" t="s">
        <v>270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100</v>
      </c>
      <c r="BO500">
        <v>0</v>
      </c>
      <c r="BP500">
        <v>0</v>
      </c>
      <c r="BQ500">
        <v>0</v>
      </c>
      <c r="BR500">
        <v>0</v>
      </c>
      <c r="BS500">
        <v>0</v>
      </c>
      <c r="BT500" t="s">
        <v>271</v>
      </c>
      <c r="BU500">
        <v>100</v>
      </c>
      <c r="BV500">
        <v>0</v>
      </c>
      <c r="BW500" t="s">
        <v>268</v>
      </c>
      <c r="BX500" t="s">
        <v>272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100</v>
      </c>
      <c r="CE500">
        <v>0</v>
      </c>
      <c r="CF500">
        <v>0</v>
      </c>
      <c r="CG500">
        <v>0</v>
      </c>
      <c r="CH500">
        <v>0</v>
      </c>
      <c r="CI500">
        <v>0</v>
      </c>
      <c r="CJ500" t="s">
        <v>273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100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100</v>
      </c>
      <c r="CW500" t="s">
        <v>274</v>
      </c>
      <c r="CX500" t="s">
        <v>268</v>
      </c>
      <c r="CY500">
        <v>0</v>
      </c>
    </row>
    <row r="501" spans="5:103" x14ac:dyDescent="0.2">
      <c r="E501">
        <v>0</v>
      </c>
      <c r="F501" t="s">
        <v>155</v>
      </c>
      <c r="G501">
        <v>0</v>
      </c>
      <c r="H501" t="s">
        <v>155</v>
      </c>
      <c r="AL501">
        <v>0</v>
      </c>
      <c r="AM501">
        <v>0.3</v>
      </c>
      <c r="AN501">
        <v>0.3</v>
      </c>
      <c r="AO501">
        <v>0.4</v>
      </c>
      <c r="AP501" t="s">
        <v>268</v>
      </c>
      <c r="AQ501">
        <v>0.3</v>
      </c>
      <c r="AR501">
        <v>0.3</v>
      </c>
      <c r="AS501">
        <v>0.2</v>
      </c>
      <c r="AT501">
        <v>0.2</v>
      </c>
      <c r="AU501" t="s">
        <v>268</v>
      </c>
      <c r="AV501" t="s">
        <v>34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100</v>
      </c>
      <c r="BC501">
        <v>0</v>
      </c>
      <c r="BD501">
        <v>0</v>
      </c>
      <c r="BE501">
        <v>0</v>
      </c>
      <c r="BF501">
        <v>0</v>
      </c>
      <c r="BG501">
        <v>0</v>
      </c>
      <c r="BH501" t="s">
        <v>270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100</v>
      </c>
      <c r="BO501">
        <v>0</v>
      </c>
      <c r="BP501">
        <v>0</v>
      </c>
      <c r="BQ501">
        <v>0</v>
      </c>
      <c r="BR501">
        <v>0</v>
      </c>
      <c r="BS501">
        <v>0</v>
      </c>
      <c r="BT501" t="s">
        <v>271</v>
      </c>
      <c r="BU501">
        <v>100</v>
      </c>
      <c r="BV501">
        <v>0</v>
      </c>
      <c r="BW501" t="s">
        <v>268</v>
      </c>
      <c r="BX501" t="s">
        <v>272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100</v>
      </c>
      <c r="CE501">
        <v>0</v>
      </c>
      <c r="CF501">
        <v>0</v>
      </c>
      <c r="CG501">
        <v>0</v>
      </c>
      <c r="CH501">
        <v>0</v>
      </c>
      <c r="CI501">
        <v>0</v>
      </c>
      <c r="CJ501" t="s">
        <v>273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100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100</v>
      </c>
      <c r="CW501" t="s">
        <v>274</v>
      </c>
      <c r="CX501" t="s">
        <v>268</v>
      </c>
      <c r="CY501">
        <v>0</v>
      </c>
    </row>
  </sheetData>
  <sheetProtection selectLockedCell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08094-5F2E-44FC-8705-6EC09DA27F47}">
  <sheetPr codeName="Sheet14"/>
  <dimension ref="B3:H29"/>
  <sheetViews>
    <sheetView workbookViewId="0">
      <selection activeCell="L2" sqref="L2"/>
    </sheetView>
  </sheetViews>
  <sheetFormatPr baseColWidth="10" defaultColWidth="8.83203125" defaultRowHeight="15" x14ac:dyDescent="0.2"/>
  <cols>
    <col min="2" max="2" width="4.83203125" bestFit="1" customWidth="1"/>
    <col min="3" max="3" width="4.5" bestFit="1" customWidth="1"/>
    <col min="6" max="6" width="26.1640625" customWidth="1"/>
    <col min="8" max="8" width="11.5" customWidth="1"/>
  </cols>
  <sheetData>
    <row r="3" spans="2:8" x14ac:dyDescent="0.2">
      <c r="B3" s="25"/>
      <c r="C3" s="25"/>
      <c r="F3" t="s">
        <v>21</v>
      </c>
      <c r="H3" t="s">
        <v>277</v>
      </c>
    </row>
    <row r="4" spans="2:8" x14ac:dyDescent="0.2">
      <c r="B4" s="25"/>
      <c r="C4" s="25"/>
      <c r="F4" t="s">
        <v>278</v>
      </c>
      <c r="H4" t="s">
        <v>1</v>
      </c>
    </row>
    <row r="5" spans="2:8" x14ac:dyDescent="0.2">
      <c r="B5" s="25"/>
      <c r="C5" s="25"/>
      <c r="F5" t="s">
        <v>279</v>
      </c>
      <c r="H5" t="s">
        <v>280</v>
      </c>
    </row>
    <row r="6" spans="2:8" x14ac:dyDescent="0.2">
      <c r="B6" s="25"/>
      <c r="C6" s="25"/>
      <c r="F6" t="s">
        <v>281</v>
      </c>
    </row>
    <row r="7" spans="2:8" x14ac:dyDescent="0.2">
      <c r="B7" s="25"/>
      <c r="C7" s="25"/>
      <c r="F7" t="s">
        <v>282</v>
      </c>
    </row>
    <row r="8" spans="2:8" x14ac:dyDescent="0.2">
      <c r="B8" s="25"/>
      <c r="C8" s="25"/>
      <c r="F8" t="s">
        <v>283</v>
      </c>
    </row>
    <row r="9" spans="2:8" x14ac:dyDescent="0.2">
      <c r="B9" s="25"/>
      <c r="C9" s="25"/>
    </row>
    <row r="10" spans="2:8" x14ac:dyDescent="0.2">
      <c r="B10" s="25"/>
      <c r="C10" s="25"/>
    </row>
    <row r="11" spans="2:8" x14ac:dyDescent="0.2">
      <c r="B11" s="25"/>
      <c r="C11" s="25"/>
    </row>
    <row r="12" spans="2:8" x14ac:dyDescent="0.2">
      <c r="C12" s="1"/>
    </row>
    <row r="13" spans="2:8" x14ac:dyDescent="0.2">
      <c r="B13" s="25" t="s">
        <v>284</v>
      </c>
      <c r="C13" s="25" t="s">
        <v>285</v>
      </c>
    </row>
    <row r="14" spans="2:8" x14ac:dyDescent="0.2">
      <c r="B14" s="25">
        <v>0</v>
      </c>
      <c r="C14" s="25" t="s">
        <v>155</v>
      </c>
    </row>
    <row r="15" spans="2:8" x14ac:dyDescent="0.2">
      <c r="B15" s="25">
        <v>71.5</v>
      </c>
      <c r="C15" s="25" t="s">
        <v>286</v>
      </c>
    </row>
    <row r="16" spans="2:8" x14ac:dyDescent="0.2">
      <c r="B16" s="25">
        <v>77.5</v>
      </c>
      <c r="C16" s="25" t="s">
        <v>287</v>
      </c>
    </row>
    <row r="17" spans="2:3" x14ac:dyDescent="0.2">
      <c r="B17" s="25">
        <v>83.5</v>
      </c>
      <c r="C17" s="25" t="s">
        <v>288</v>
      </c>
    </row>
    <row r="18" spans="2:3" x14ac:dyDescent="0.2">
      <c r="B18" s="25">
        <v>89.5</v>
      </c>
      <c r="C18" s="25" t="s">
        <v>289</v>
      </c>
    </row>
    <row r="19" spans="2:3" x14ac:dyDescent="0.2">
      <c r="B19" s="25">
        <v>95.5</v>
      </c>
      <c r="C19" s="25" t="s">
        <v>290</v>
      </c>
    </row>
    <row r="20" spans="2:3" x14ac:dyDescent="0.2">
      <c r="C20" s="1"/>
    </row>
    <row r="21" spans="2:3" x14ac:dyDescent="0.2">
      <c r="B21" s="25" t="s">
        <v>284</v>
      </c>
      <c r="C21" s="25" t="s">
        <v>285</v>
      </c>
    </row>
    <row r="22" spans="2:3" x14ac:dyDescent="0.2">
      <c r="B22" s="25">
        <v>0</v>
      </c>
      <c r="C22" s="25" t="s">
        <v>155</v>
      </c>
    </row>
    <row r="23" spans="2:3" x14ac:dyDescent="0.2">
      <c r="B23" s="25">
        <v>59.5</v>
      </c>
      <c r="C23" s="25" t="s">
        <v>291</v>
      </c>
    </row>
    <row r="24" spans="2:3" x14ac:dyDescent="0.2">
      <c r="B24" s="25">
        <v>65.5</v>
      </c>
      <c r="C24" s="25" t="s">
        <v>292</v>
      </c>
    </row>
    <row r="25" spans="2:3" x14ac:dyDescent="0.2">
      <c r="B25" s="25">
        <v>71.5</v>
      </c>
      <c r="C25" s="25" t="s">
        <v>286</v>
      </c>
    </row>
    <row r="26" spans="2:3" x14ac:dyDescent="0.2">
      <c r="B26" s="25">
        <v>77.5</v>
      </c>
      <c r="C26" s="25" t="s">
        <v>287</v>
      </c>
    </row>
    <row r="27" spans="2:3" x14ac:dyDescent="0.2">
      <c r="B27" s="25">
        <v>83.5</v>
      </c>
      <c r="C27" s="25" t="s">
        <v>288</v>
      </c>
    </row>
    <row r="28" spans="2:3" x14ac:dyDescent="0.2">
      <c r="B28" s="25">
        <v>89.5</v>
      </c>
      <c r="C28" s="25" t="s">
        <v>289</v>
      </c>
    </row>
    <row r="29" spans="2:3" x14ac:dyDescent="0.2">
      <c r="B29" s="25">
        <v>95.5</v>
      </c>
      <c r="C29" s="25" t="s">
        <v>290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FCD3E1EFA8B84AA1CDF1E1DCCD2684" ma:contentTypeVersion="8" ma:contentTypeDescription="Create a new document." ma:contentTypeScope="" ma:versionID="ba266f320f45ba6c47a5070f0ca8965f">
  <xsd:schema xmlns:xsd="http://www.w3.org/2001/XMLSchema" xmlns:xs="http://www.w3.org/2001/XMLSchema" xmlns:p="http://schemas.microsoft.com/office/2006/metadata/properties" xmlns:ns2="8d904bc5-65f5-4550-a41f-f59f4b22fd81" targetNamespace="http://schemas.microsoft.com/office/2006/metadata/properties" ma:root="true" ma:fieldsID="96533473216481b7fd100fc8fb0588b5" ns2:_="">
    <xsd:import namespace="8d904bc5-65f5-4550-a41f-f59f4b22fd8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904bc5-65f5-4550-a41f-f59f4b22f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7629D9-8174-4214-B70B-3DBB10AF71DF}"/>
</file>

<file path=customXml/itemProps2.xml><?xml version="1.0" encoding="utf-8"?>
<ds:datastoreItem xmlns:ds="http://schemas.openxmlformats.org/officeDocument/2006/customXml" ds:itemID="{173CBFD2-7AB1-4269-97EA-23C95B20F431}">
  <ds:schemaRefs>
    <ds:schemaRef ds:uri="http://schemas.microsoft.com/office/2006/metadata/properties"/>
    <ds:schemaRef ds:uri="http://schemas.microsoft.com/office/infopath/2007/PartnerControls"/>
    <ds:schemaRef ds:uri="04cb1c72-3c4f-4a17-b546-b151b3db6613"/>
    <ds:schemaRef ds:uri="a0843b0b-88de-4ef7-8502-d4276e0f32cb"/>
  </ds:schemaRefs>
</ds:datastoreItem>
</file>

<file path=customXml/itemProps3.xml><?xml version="1.0" encoding="utf-8"?>
<ds:datastoreItem xmlns:ds="http://schemas.openxmlformats.org/officeDocument/2006/customXml" ds:itemID="{51E53634-9658-4425-8E44-5FE7ABBF0F0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0980F48-3F75-4D5A-BFF1-B515E8CF722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Cover Page</vt:lpstr>
      <vt:lpstr>1</vt:lpstr>
      <vt:lpstr>Masterlist</vt:lpstr>
      <vt:lpstr>Sheet2</vt:lpstr>
      <vt:lpstr>CourseType</vt:lpstr>
      <vt:lpstr>GradeTable1</vt:lpstr>
      <vt:lpstr>PRAC_GradeTable</vt:lpstr>
      <vt:lpstr>Term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 Rondera</dc:creator>
  <cp:keywords/>
  <dc:description/>
  <cp:lastModifiedBy>Ma. Katherine L. Calunod</cp:lastModifiedBy>
  <cp:revision/>
  <dcterms:created xsi:type="dcterms:W3CDTF">2023-01-08T03:31:52Z</dcterms:created>
  <dcterms:modified xsi:type="dcterms:W3CDTF">2024-08-04T11:25:53Z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0x010100C3A636E45A93D34FBA476480AB0D2DF9</vt:lpwstr>
  </property>
  <property fmtid="{D5CDD505-2E9C-101B-9397-08002B2CF9AE}" pid="3" name="MediaServiceImageTags">
    <vt:lpwstr/>
  </property>
</Properties>
</file>